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mster\Documents\"/>
    </mc:Choice>
  </mc:AlternateContent>
  <xr:revisionPtr revIDLastSave="0" documentId="13_ncr:1_{A3234F7E-1156-4D96-B216-1C868F1B9085}" xr6:coauthVersionLast="47" xr6:coauthVersionMax="47" xr10:uidLastSave="{00000000-0000-0000-0000-000000000000}"/>
  <bookViews>
    <workbookView xWindow="-120" yWindow="-120" windowWidth="29040" windowHeight="15840" tabRatio="363" xr2:uid="{00000000-000D-0000-FFFF-FFFF00000000}"/>
  </bookViews>
  <sheets>
    <sheet name="Лист1" sheetId="1" r:id="rId1"/>
    <sheet name="Инструкция " sheetId="2" r:id="rId2"/>
  </sheets>
  <definedNames>
    <definedName name="_xlnm.Print_Area" localSheetId="1">'Инструкция '!$A$1:$E$56</definedName>
    <definedName name="_xlnm.Print_Area" localSheetId="0">Лист1!$A$1:$E$50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" i="1" l="1"/>
  <c r="B31" i="1" s="1"/>
  <c r="B32" i="1" s="1"/>
  <c r="B29" i="2" l="1"/>
  <c r="B21" i="2"/>
  <c r="B30" i="2" l="1"/>
</calcChain>
</file>

<file path=xl/sharedStrings.xml><?xml version="1.0" encoding="utf-8"?>
<sst xmlns="http://schemas.openxmlformats.org/spreadsheetml/2006/main" count="72" uniqueCount="56">
  <si>
    <t>ПРИХОД:</t>
  </si>
  <si>
    <t xml:space="preserve">Дата               </t>
  </si>
  <si>
    <t>Сумма</t>
  </si>
  <si>
    <t>Итого Приход:</t>
  </si>
  <si>
    <t>РАСХОД:</t>
  </si>
  <si>
    <t>Итого расход:</t>
  </si>
  <si>
    <t>Остаток:</t>
  </si>
  <si>
    <t>П_СО_6</t>
  </si>
  <si>
    <t xml:space="preserve">Дата </t>
  </si>
  <si>
    <t xml:space="preserve">Сумма </t>
  </si>
  <si>
    <t xml:space="preserve">№ документа </t>
  </si>
  <si>
    <t>Цель использования средств</t>
  </si>
  <si>
    <t xml:space="preserve">Расписка </t>
  </si>
  <si>
    <t xml:space="preserve">Оплата работ крана  5 часов </t>
  </si>
  <si>
    <t xml:space="preserve">Копия чека </t>
  </si>
  <si>
    <t xml:space="preserve">Фискальный чек </t>
  </si>
  <si>
    <t xml:space="preserve">Покупка  - Анкер-клин 6*40 - 100 шт. </t>
  </si>
  <si>
    <t xml:space="preserve">Договор </t>
  </si>
  <si>
    <t xml:space="preserve">Аренда бурояма  на 3 дня </t>
  </si>
  <si>
    <t xml:space="preserve">Пример заполнения </t>
  </si>
  <si>
    <t>2. В блоке РАСХОД внесите дату расходования средств и сумму которую вы потратили .</t>
  </si>
  <si>
    <t>На каждую потраченную вами сумму должен быть подтверждающий документ (копия чека, фискальный чек,  договор, расписка и т.п.)</t>
  </si>
  <si>
    <t xml:space="preserve">Если вы пользовались услугами такси или иного транспорта, то укажите для каких целей. Если средства были потрачены на покупку материалов, то укажите какие материалы были закуплены их название, размер и количество.   </t>
  </si>
  <si>
    <t xml:space="preserve">! ВАЖНО </t>
  </si>
  <si>
    <t xml:space="preserve">Должность </t>
  </si>
  <si>
    <t xml:space="preserve">Вид согласования </t>
  </si>
  <si>
    <t xml:space="preserve">Инженер ПТО </t>
  </si>
  <si>
    <t xml:space="preserve">Покупка материалов </t>
  </si>
  <si>
    <t>Начальник строительных участков</t>
  </si>
  <si>
    <t xml:space="preserve">Покупка инструментов и расходных материалов к ним </t>
  </si>
  <si>
    <t xml:space="preserve">Логист </t>
  </si>
  <si>
    <t xml:space="preserve">Оплата услуг аренды машин и механизмов </t>
  </si>
  <si>
    <t xml:space="preserve">Вид подтверждающего документа </t>
  </si>
  <si>
    <t xml:space="preserve">Отпала услуг такси - проезд за материалами </t>
  </si>
  <si>
    <t xml:space="preserve">1. В блоке  ПРИХОД внесите все полученные вами суммы с датой получения </t>
  </si>
  <si>
    <t>Внесите  название подтверждающего документа и его номер в соответствующие графы таблицы.</t>
  </si>
  <si>
    <t>В графе "Цель использования средств" укажите на что были потрачены деньги. Если вы пользовались услугами такси или иного транспорта, то укажите для каких цели.</t>
  </si>
  <si>
    <t xml:space="preserve">ИНСТРУКЦИЯ ПО ЗАПОЛНЕНИЮ </t>
  </si>
  <si>
    <r>
      <t xml:space="preserve">Покупка любых материалов и инструментов, оплата аренды машин и механизмов  должна быть согласована с Управляющей компанией через </t>
    </r>
    <r>
      <rPr>
        <b/>
        <sz val="11"/>
        <color indexed="8"/>
        <rFont val="Calibri"/>
        <family val="2"/>
        <charset val="204"/>
      </rPr>
      <t>Заявку на получение денжных средств.</t>
    </r>
    <r>
      <rPr>
        <sz val="11"/>
        <color theme="1"/>
        <rFont val="Calibri"/>
        <family val="2"/>
        <charset val="204"/>
        <scheme val="minor"/>
      </rPr>
      <t xml:space="preserve"> Без подтверждения со стороны УК оплачиваться данные расходы не будут.</t>
    </r>
  </si>
  <si>
    <t>Авансовый отчет</t>
  </si>
  <si>
    <t xml:space="preserve">СОГЛАСОВАНО </t>
  </si>
  <si>
    <t>Подпись ответственного лица</t>
  </si>
  <si>
    <t xml:space="preserve"> </t>
  </si>
  <si>
    <t>Остаток на начало:</t>
  </si>
  <si>
    <t>Объект: Тамбовский Пороховой завод</t>
  </si>
  <si>
    <t>Директор</t>
  </si>
  <si>
    <t>Ответственное лицо Задумин С.С.</t>
  </si>
  <si>
    <t>За пер. с  по</t>
  </si>
  <si>
    <t>чек яндекс</t>
  </si>
  <si>
    <t>Такси до Анны</t>
  </si>
  <si>
    <t>Такси до гостиницы</t>
  </si>
  <si>
    <t>Такси гостиница</t>
  </si>
  <si>
    <t xml:space="preserve">Механник по выпуску </t>
  </si>
  <si>
    <t>манипуляторщик</t>
  </si>
  <si>
    <t>Бензин Калоша Растворитель для чистки столов</t>
  </si>
  <si>
    <t>авито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</si>
</sst>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204"/>
      <scheme val="minor"/>
    </font>
    <font>
      <b/>
      <sz val="12"/>
      <color indexed="8"/>
      <name val="Calibri"/>
      <family val="2"/>
      <charset val="204"/>
    </font>
    <font>
      <sz val="12"/>
      <color indexed="8"/>
      <name val="Calibri"/>
      <family val="2"/>
      <charset val="204"/>
    </font>
    <font>
      <i/>
      <u/>
      <sz val="12"/>
      <color indexed="8"/>
      <name val="Calibri"/>
      <family val="2"/>
      <charset val="204"/>
    </font>
    <font>
      <i/>
      <u/>
      <sz val="11"/>
      <color indexed="8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i/>
      <sz val="12"/>
      <color indexed="8"/>
      <name val="Calibri"/>
      <family val="2"/>
      <charset val="204"/>
    </font>
    <font>
      <sz val="8"/>
      <name val="Calibri"/>
      <family val="2"/>
      <charset val="204"/>
    </font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i/>
      <u/>
      <sz val="12"/>
      <color indexed="8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vertical="center"/>
    </xf>
    <xf numFmtId="3" fontId="0" fillId="0" borderId="1" xfId="0" applyNumberFormat="1" applyBorder="1"/>
    <xf numFmtId="0" fontId="2" fillId="0" borderId="1" xfId="0" applyFont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vertical="center"/>
    </xf>
    <xf numFmtId="0" fontId="0" fillId="0" borderId="0" xfId="0" applyBorder="1"/>
    <xf numFmtId="0" fontId="5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8" fillId="0" borderId="0" xfId="0" applyFont="1"/>
    <xf numFmtId="0" fontId="1" fillId="0" borderId="0" xfId="0" applyFont="1" applyAlignment="1">
      <alignment horizontal="right"/>
    </xf>
    <xf numFmtId="0" fontId="1" fillId="0" borderId="1" xfId="0" applyFont="1" applyBorder="1" applyAlignment="1">
      <alignment horizontal="center" vertical="center"/>
    </xf>
    <xf numFmtId="0" fontId="8" fillId="0" borderId="1" xfId="0" applyFont="1" applyBorder="1"/>
    <xf numFmtId="0" fontId="8" fillId="0" borderId="1" xfId="0" applyFont="1" applyBorder="1" applyAlignment="1">
      <alignment shrinkToFit="1"/>
    </xf>
    <xf numFmtId="0" fontId="8" fillId="0" borderId="2" xfId="0" applyFont="1" applyBorder="1"/>
    <xf numFmtId="0" fontId="8" fillId="0" borderId="0" xfId="0" applyFont="1" applyBorder="1"/>
    <xf numFmtId="14" fontId="1" fillId="0" borderId="1" xfId="0" applyNumberFormat="1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right" vertical="center" wrapText="1"/>
    </xf>
    <xf numFmtId="4" fontId="1" fillId="0" borderId="1" xfId="0" applyNumberFormat="1" applyFont="1" applyBorder="1" applyAlignment="1">
      <alignment horizontal="center" vertical="center"/>
    </xf>
    <xf numFmtId="4" fontId="10" fillId="0" borderId="0" xfId="0" applyNumberFormat="1" applyFont="1"/>
    <xf numFmtId="0" fontId="5" fillId="0" borderId="0" xfId="0" applyFont="1" applyFill="1" applyBorder="1" applyAlignment="1">
      <alignment vertical="center" wrapText="1"/>
    </xf>
    <xf numFmtId="0" fontId="1" fillId="0" borderId="0" xfId="0" applyFont="1" applyAlignment="1">
      <alignment vertical="center"/>
    </xf>
    <xf numFmtId="3" fontId="1" fillId="0" borderId="1" xfId="0" applyNumberFormat="1" applyFont="1" applyBorder="1" applyAlignment="1">
      <alignment horizontal="left" vertical="center" wrapText="1"/>
    </xf>
    <xf numFmtId="0" fontId="1" fillId="0" borderId="0" xfId="0" applyFont="1" applyBorder="1" applyAlignment="1">
      <alignment vertical="center" wrapText="1"/>
    </xf>
    <xf numFmtId="4" fontId="1" fillId="0" borderId="0" xfId="0" applyNumberFormat="1" applyFont="1" applyBorder="1" applyAlignment="1">
      <alignment horizontal="right" vertical="center" wrapText="1"/>
    </xf>
    <xf numFmtId="0" fontId="8" fillId="0" borderId="0" xfId="0" applyFont="1" applyBorder="1" applyAlignment="1">
      <alignment shrinkToFit="1"/>
    </xf>
    <xf numFmtId="0" fontId="9" fillId="0" borderId="0" xfId="0" applyFont="1" applyAlignment="1">
      <alignment wrapText="1"/>
    </xf>
    <xf numFmtId="14" fontId="1" fillId="3" borderId="1" xfId="0" applyNumberFormat="1" applyFont="1" applyFill="1" applyBorder="1" applyAlignment="1">
      <alignment horizontal="left" vertical="center" wrapText="1"/>
    </xf>
    <xf numFmtId="4" fontId="1" fillId="3" borderId="1" xfId="0" applyNumberFormat="1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wrapText="1"/>
    </xf>
    <xf numFmtId="0" fontId="2" fillId="3" borderId="1" xfId="0" applyFont="1" applyFill="1" applyBorder="1" applyAlignment="1">
      <alignment horizontal="left" wrapText="1"/>
    </xf>
    <xf numFmtId="16" fontId="1" fillId="3" borderId="1" xfId="0" applyNumberFormat="1" applyFont="1" applyFill="1" applyBorder="1" applyAlignment="1">
      <alignment horizontal="left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8" fillId="0" borderId="0" xfId="0" applyFont="1" applyAlignment="1"/>
    <xf numFmtId="0" fontId="0" fillId="0" borderId="0" xfId="0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09"/>
  <sheetViews>
    <sheetView tabSelected="1" view="pageBreakPreview" topLeftCell="A6" zoomScale="66" zoomScaleNormal="100" zoomScaleSheetLayoutView="66" workbookViewId="0">
      <selection activeCell="D17" sqref="D17"/>
    </sheetView>
  </sheetViews>
  <sheetFormatPr defaultRowHeight="15" x14ac:dyDescent="0.25"/>
  <cols>
    <col min="1" max="1" width="15" customWidth="1"/>
    <col min="2" max="2" width="16" customWidth="1"/>
    <col min="3" max="3" width="24.7109375" customWidth="1"/>
    <col min="4" max="4" width="19.28515625" customWidth="1"/>
    <col min="5" max="5" width="52.85546875" customWidth="1"/>
    <col min="7" max="7" width="11.7109375" bestFit="1" customWidth="1"/>
  </cols>
  <sheetData>
    <row r="1" spans="1:5" s="26" customFormat="1" ht="15.75" x14ac:dyDescent="0.25">
      <c r="E1" s="27" t="s">
        <v>7</v>
      </c>
    </row>
    <row r="2" spans="1:5" s="26" customFormat="1" ht="15.75" x14ac:dyDescent="0.25">
      <c r="A2" s="51" t="s">
        <v>39</v>
      </c>
      <c r="B2" s="51"/>
      <c r="C2" s="51"/>
      <c r="D2" s="51"/>
      <c r="E2" s="51"/>
    </row>
    <row r="3" spans="1:5" s="53" customFormat="1" ht="15.75" x14ac:dyDescent="0.25">
      <c r="A3" s="52" t="s">
        <v>46</v>
      </c>
    </row>
    <row r="4" spans="1:5" s="26" customFormat="1" ht="15.75" x14ac:dyDescent="0.25">
      <c r="A4" s="38" t="s">
        <v>47</v>
      </c>
      <c r="E4" s="43" t="s">
        <v>44</v>
      </c>
    </row>
    <row r="5" spans="1:5" s="26" customFormat="1" ht="15.75" x14ac:dyDescent="0.25">
      <c r="A5" s="2"/>
      <c r="D5" s="26" t="s">
        <v>43</v>
      </c>
      <c r="E5" s="39">
        <v>0</v>
      </c>
    </row>
    <row r="6" spans="1:5" s="26" customFormat="1" ht="15.75" x14ac:dyDescent="0.25">
      <c r="A6" s="25" t="s">
        <v>0</v>
      </c>
    </row>
    <row r="7" spans="1:5" s="26" customFormat="1" ht="15.75" x14ac:dyDescent="0.25">
      <c r="A7" s="28" t="s">
        <v>1</v>
      </c>
      <c r="B7" s="28" t="s">
        <v>2</v>
      </c>
    </row>
    <row r="8" spans="1:5" s="26" customFormat="1" ht="15.75" x14ac:dyDescent="0.25">
      <c r="A8" s="33"/>
      <c r="B8" s="35"/>
    </row>
    <row r="9" spans="1:5" s="26" customFormat="1" ht="15.75" x14ac:dyDescent="0.25">
      <c r="A9" s="33"/>
      <c r="B9" s="35"/>
    </row>
    <row r="10" spans="1:5" s="26" customFormat="1" ht="15.75" x14ac:dyDescent="0.25">
      <c r="A10" s="33"/>
      <c r="B10" s="35"/>
    </row>
    <row r="11" spans="1:5" s="26" customFormat="1" ht="15.75" x14ac:dyDescent="0.25">
      <c r="A11" s="3" t="s">
        <v>3</v>
      </c>
      <c r="B11" s="36">
        <f>SUM(B8:B10)</f>
        <v>0</v>
      </c>
    </row>
    <row r="12" spans="1:5" s="26" customFormat="1" ht="15.75" x14ac:dyDescent="0.25">
      <c r="A12" s="2"/>
    </row>
    <row r="13" spans="1:5" s="26" customFormat="1" ht="15.75" x14ac:dyDescent="0.25">
      <c r="A13" s="25" t="s">
        <v>4</v>
      </c>
    </row>
    <row r="14" spans="1:5" s="26" customFormat="1" ht="47.25" x14ac:dyDescent="0.25">
      <c r="A14" s="5" t="s">
        <v>8</v>
      </c>
      <c r="B14" s="5" t="s">
        <v>9</v>
      </c>
      <c r="C14" s="5" t="s">
        <v>32</v>
      </c>
      <c r="D14" s="5" t="s">
        <v>10</v>
      </c>
      <c r="E14" s="5" t="s">
        <v>11</v>
      </c>
    </row>
    <row r="15" spans="1:5" s="26" customFormat="1" ht="33" customHeight="1" x14ac:dyDescent="0.25">
      <c r="A15" s="44">
        <v>45959</v>
      </c>
      <c r="B15" s="45">
        <v>353</v>
      </c>
      <c r="C15" s="46" t="s">
        <v>48</v>
      </c>
      <c r="D15" s="49"/>
      <c r="E15" s="48" t="s">
        <v>49</v>
      </c>
    </row>
    <row r="16" spans="1:5" s="26" customFormat="1" ht="33" customHeight="1" x14ac:dyDescent="0.25">
      <c r="A16" s="44">
        <v>45961</v>
      </c>
      <c r="B16" s="45">
        <v>320</v>
      </c>
      <c r="C16" s="46"/>
      <c r="D16" s="49"/>
      <c r="E16" s="48" t="s">
        <v>50</v>
      </c>
    </row>
    <row r="17" spans="1:5" s="26" customFormat="1" ht="33" customHeight="1" x14ac:dyDescent="0.25">
      <c r="A17" s="44">
        <v>45963</v>
      </c>
      <c r="B17" s="45">
        <v>1039</v>
      </c>
      <c r="C17" s="46"/>
      <c r="D17" s="47"/>
      <c r="E17" s="50" t="s">
        <v>51</v>
      </c>
    </row>
    <row r="18" spans="1:5" s="26" customFormat="1" ht="33" customHeight="1" x14ac:dyDescent="0.25">
      <c r="A18" s="44">
        <v>45964</v>
      </c>
      <c r="B18" s="45">
        <v>899</v>
      </c>
      <c r="C18" s="46"/>
      <c r="D18" s="47"/>
      <c r="E18" s="48" t="s">
        <v>51</v>
      </c>
    </row>
    <row r="19" spans="1:5" s="26" customFormat="1" ht="33" customHeight="1" x14ac:dyDescent="0.25">
      <c r="A19" s="44">
        <v>45965</v>
      </c>
      <c r="B19" s="45">
        <v>634</v>
      </c>
      <c r="C19" s="46"/>
      <c r="D19" s="47"/>
      <c r="E19" s="48"/>
    </row>
    <row r="20" spans="1:5" s="26" customFormat="1" ht="33" customHeight="1" x14ac:dyDescent="0.25">
      <c r="A20" s="44">
        <v>45970</v>
      </c>
      <c r="B20" s="45">
        <v>429</v>
      </c>
      <c r="C20" s="46"/>
      <c r="D20" s="47"/>
      <c r="E20" s="48"/>
    </row>
    <row r="21" spans="1:5" s="26" customFormat="1" ht="33" customHeight="1" x14ac:dyDescent="0.25">
      <c r="A21" s="44">
        <v>45971</v>
      </c>
      <c r="B21" s="45">
        <v>423</v>
      </c>
      <c r="C21" s="46"/>
      <c r="D21" s="47"/>
      <c r="E21" s="48"/>
    </row>
    <row r="22" spans="1:5" s="26" customFormat="1" ht="33" customHeight="1" x14ac:dyDescent="0.25">
      <c r="A22" s="44">
        <v>45978</v>
      </c>
      <c r="B22" s="45">
        <v>475</v>
      </c>
      <c r="C22" s="46"/>
      <c r="D22" s="49"/>
      <c r="E22" s="48"/>
    </row>
    <row r="23" spans="1:5" s="26" customFormat="1" ht="33" customHeight="1" x14ac:dyDescent="0.25">
      <c r="A23" s="44">
        <v>45979</v>
      </c>
      <c r="B23" s="45">
        <v>477</v>
      </c>
      <c r="C23" s="46"/>
      <c r="D23" s="49"/>
      <c r="E23" s="48" t="s">
        <v>51</v>
      </c>
    </row>
    <row r="24" spans="1:5" s="26" customFormat="1" ht="33" customHeight="1" x14ac:dyDescent="0.25">
      <c r="A24" s="44">
        <v>45976</v>
      </c>
      <c r="B24" s="45">
        <v>5000</v>
      </c>
      <c r="C24" s="46"/>
      <c r="D24" s="49"/>
      <c r="E24" s="48" t="s">
        <v>52</v>
      </c>
    </row>
    <row r="25" spans="1:5" s="26" customFormat="1" ht="33" customHeight="1" x14ac:dyDescent="0.25">
      <c r="A25" s="44">
        <v>45976</v>
      </c>
      <c r="B25" s="45">
        <v>1500</v>
      </c>
      <c r="C25" s="46"/>
      <c r="D25" s="49"/>
      <c r="E25" s="48" t="s">
        <v>53</v>
      </c>
    </row>
    <row r="26" spans="1:5" s="26" customFormat="1" ht="33" customHeight="1" x14ac:dyDescent="0.25">
      <c r="A26" s="44">
        <v>45964</v>
      </c>
      <c r="B26" s="45">
        <v>400</v>
      </c>
      <c r="C26" s="46"/>
      <c r="D26" s="47"/>
      <c r="E26" s="48" t="s">
        <v>54</v>
      </c>
    </row>
    <row r="27" spans="1:5" s="26" customFormat="1" ht="33" customHeight="1" x14ac:dyDescent="0.25">
      <c r="A27" s="44">
        <v>45979</v>
      </c>
      <c r="B27" s="45">
        <v>970</v>
      </c>
      <c r="C27" s="46"/>
      <c r="D27" s="47"/>
      <c r="E27" s="48" t="s">
        <v>55</v>
      </c>
    </row>
    <row r="28" spans="1:5" s="26" customFormat="1" ht="33" customHeight="1" x14ac:dyDescent="0.25">
      <c r="A28" s="44">
        <v>45970</v>
      </c>
      <c r="B28" s="45">
        <v>1539</v>
      </c>
      <c r="C28" s="46"/>
      <c r="D28" s="47"/>
      <c r="E28" s="48" t="s">
        <v>55</v>
      </c>
    </row>
    <row r="29" spans="1:5" s="26" customFormat="1" ht="33" customHeight="1" x14ac:dyDescent="0.25">
      <c r="A29" s="44">
        <v>45981</v>
      </c>
      <c r="B29" s="45">
        <v>900</v>
      </c>
      <c r="C29" s="46"/>
      <c r="D29" s="47"/>
      <c r="E29" s="48" t="s">
        <v>51</v>
      </c>
    </row>
    <row r="30" spans="1:5" s="26" customFormat="1" ht="33" customHeight="1" x14ac:dyDescent="0.25"/>
    <row r="31" spans="1:5" s="26" customFormat="1" ht="15.75" x14ac:dyDescent="0.25">
      <c r="A31" s="6" t="s">
        <v>5</v>
      </c>
      <c r="B31" s="34">
        <f>B11</f>
        <v>0</v>
      </c>
      <c r="C31" s="6"/>
      <c r="D31" s="29"/>
      <c r="E31" s="29"/>
    </row>
    <row r="32" spans="1:5" s="26" customFormat="1" ht="15.75" x14ac:dyDescent="0.25">
      <c r="A32" s="6" t="s">
        <v>6</v>
      </c>
      <c r="B32" s="34">
        <f>B31-SUM(B15:B29)</f>
        <v>-15358</v>
      </c>
      <c r="C32" s="6"/>
      <c r="D32" s="30"/>
      <c r="E32" s="29"/>
    </row>
    <row r="33" spans="1:5" s="26" customFormat="1" ht="15.75" x14ac:dyDescent="0.25">
      <c r="A33" s="40"/>
      <c r="B33" s="41"/>
      <c r="C33" s="40"/>
      <c r="D33" s="42"/>
      <c r="E33" s="32"/>
    </row>
    <row r="34" spans="1:5" s="26" customFormat="1" ht="15.75" x14ac:dyDescent="0.25">
      <c r="A34" s="25"/>
    </row>
    <row r="35" spans="1:5" s="26" customFormat="1" ht="15.75" x14ac:dyDescent="0.25">
      <c r="A35" s="2" t="s">
        <v>41</v>
      </c>
      <c r="D35" s="31"/>
      <c r="E35" s="31"/>
    </row>
    <row r="36" spans="1:5" s="26" customFormat="1" ht="15.75" x14ac:dyDescent="0.25">
      <c r="A36" s="37" t="s">
        <v>40</v>
      </c>
      <c r="D36" s="32"/>
      <c r="E36" s="32"/>
    </row>
    <row r="37" spans="1:5" s="26" customFormat="1" ht="15.75" x14ac:dyDescent="0.25">
      <c r="A37" s="24" t="s">
        <v>45</v>
      </c>
      <c r="B37" s="23"/>
      <c r="D37" s="31"/>
      <c r="E37" s="31"/>
    </row>
    <row r="38" spans="1:5" s="26" customFormat="1" ht="15.75" x14ac:dyDescent="0.25">
      <c r="D38" s="32"/>
      <c r="E38" s="32"/>
    </row>
    <row r="39" spans="1:5" s="26" customFormat="1" ht="15.75" x14ac:dyDescent="0.25">
      <c r="D39" s="32"/>
      <c r="E39" s="32"/>
    </row>
    <row r="40" spans="1:5" s="26" customFormat="1" ht="15.75" x14ac:dyDescent="0.25">
      <c r="D40" s="32"/>
      <c r="E40" s="32"/>
    </row>
    <row r="41" spans="1:5" s="26" customFormat="1" ht="15.75" x14ac:dyDescent="0.25"/>
    <row r="42" spans="1:5" s="26" customFormat="1" ht="15.75" x14ac:dyDescent="0.25">
      <c r="A42"/>
      <c r="B42"/>
      <c r="C42"/>
      <c r="D42"/>
      <c r="E42"/>
    </row>
    <row r="43" spans="1:5" s="26" customFormat="1" ht="15.75" x14ac:dyDescent="0.25">
      <c r="A43"/>
      <c r="B43"/>
      <c r="C43"/>
      <c r="D43"/>
      <c r="E43"/>
    </row>
    <row r="44" spans="1:5" s="26" customFormat="1" ht="15.75" x14ac:dyDescent="0.25">
      <c r="A44"/>
      <c r="B44"/>
      <c r="C44"/>
      <c r="D44"/>
      <c r="E44"/>
    </row>
    <row r="45" spans="1:5" s="26" customFormat="1" ht="15.75" x14ac:dyDescent="0.25">
      <c r="A45"/>
      <c r="B45"/>
      <c r="C45"/>
      <c r="D45"/>
      <c r="E45"/>
    </row>
    <row r="46" spans="1:5" s="26" customFormat="1" ht="15.75" x14ac:dyDescent="0.25">
      <c r="A46"/>
      <c r="B46"/>
      <c r="C46"/>
      <c r="D46"/>
      <c r="E46"/>
    </row>
    <row r="47" spans="1:5" s="26" customFormat="1" ht="15.75" x14ac:dyDescent="0.25">
      <c r="A47"/>
      <c r="B47"/>
      <c r="C47"/>
      <c r="D47"/>
      <c r="E47"/>
    </row>
    <row r="48" spans="1:5" s="26" customFormat="1" ht="15.75" x14ac:dyDescent="0.25">
      <c r="A48"/>
      <c r="B48"/>
      <c r="C48"/>
      <c r="D48"/>
      <c r="E48"/>
    </row>
    <row r="49" spans="1:5" s="26" customFormat="1" ht="15.75" x14ac:dyDescent="0.25">
      <c r="A49"/>
      <c r="B49"/>
      <c r="C49"/>
      <c r="D49"/>
      <c r="E49"/>
    </row>
    <row r="50" spans="1:5" s="26" customFormat="1" ht="15.75" x14ac:dyDescent="0.25">
      <c r="A50"/>
      <c r="B50"/>
      <c r="C50"/>
      <c r="D50"/>
      <c r="E50"/>
    </row>
    <row r="51" spans="1:5" s="26" customFormat="1" ht="15.75" x14ac:dyDescent="0.25">
      <c r="A51"/>
      <c r="B51"/>
      <c r="C51"/>
      <c r="D51"/>
      <c r="E51"/>
    </row>
    <row r="52" spans="1:5" s="26" customFormat="1" ht="15.75" x14ac:dyDescent="0.25">
      <c r="A52"/>
      <c r="B52"/>
      <c r="C52"/>
      <c r="D52"/>
      <c r="E52"/>
    </row>
    <row r="53" spans="1:5" s="26" customFormat="1" ht="15.75" x14ac:dyDescent="0.25">
      <c r="A53"/>
      <c r="B53"/>
      <c r="C53"/>
      <c r="D53"/>
      <c r="E53"/>
    </row>
    <row r="54" spans="1:5" s="26" customFormat="1" ht="15.75" x14ac:dyDescent="0.25">
      <c r="A54"/>
      <c r="B54"/>
      <c r="C54"/>
      <c r="D54"/>
      <c r="E54"/>
    </row>
    <row r="55" spans="1:5" s="26" customFormat="1" ht="15.75" x14ac:dyDescent="0.25">
      <c r="A55"/>
      <c r="B55"/>
      <c r="C55"/>
      <c r="D55"/>
      <c r="E55"/>
    </row>
    <row r="56" spans="1:5" s="26" customFormat="1" ht="15.75" x14ac:dyDescent="0.25">
      <c r="A56"/>
      <c r="B56"/>
      <c r="C56"/>
      <c r="D56"/>
      <c r="E56"/>
    </row>
    <row r="57" spans="1:5" s="26" customFormat="1" ht="15.75" x14ac:dyDescent="0.25">
      <c r="A57"/>
      <c r="B57"/>
      <c r="C57"/>
      <c r="D57"/>
      <c r="E57"/>
    </row>
    <row r="58" spans="1:5" s="26" customFormat="1" ht="15.75" x14ac:dyDescent="0.25">
      <c r="A58"/>
      <c r="B58"/>
      <c r="C58"/>
      <c r="D58"/>
      <c r="E58"/>
    </row>
    <row r="59" spans="1:5" s="26" customFormat="1" ht="15.75" x14ac:dyDescent="0.25">
      <c r="A59"/>
      <c r="B59"/>
      <c r="C59"/>
      <c r="D59"/>
      <c r="E59"/>
    </row>
    <row r="60" spans="1:5" s="26" customFormat="1" ht="15.75" x14ac:dyDescent="0.25">
      <c r="A60"/>
      <c r="B60"/>
      <c r="C60"/>
      <c r="D60"/>
      <c r="E60"/>
    </row>
    <row r="61" spans="1:5" s="26" customFormat="1" ht="15.75" x14ac:dyDescent="0.25">
      <c r="A61"/>
      <c r="B61"/>
      <c r="C61"/>
      <c r="D61"/>
      <c r="E61"/>
    </row>
    <row r="62" spans="1:5" s="26" customFormat="1" ht="15.75" x14ac:dyDescent="0.25">
      <c r="A62"/>
      <c r="B62"/>
      <c r="C62"/>
      <c r="D62"/>
      <c r="E62"/>
    </row>
    <row r="63" spans="1:5" s="26" customFormat="1" ht="15.75" x14ac:dyDescent="0.25">
      <c r="A63"/>
      <c r="B63"/>
      <c r="C63"/>
      <c r="D63"/>
      <c r="E63"/>
    </row>
    <row r="64" spans="1:5" s="26" customFormat="1" ht="15.75" x14ac:dyDescent="0.25">
      <c r="A64"/>
      <c r="B64"/>
      <c r="C64"/>
      <c r="D64"/>
      <c r="E64"/>
    </row>
    <row r="65" spans="1:5" s="26" customFormat="1" ht="15.75" x14ac:dyDescent="0.25">
      <c r="A65"/>
      <c r="B65"/>
      <c r="C65"/>
      <c r="D65"/>
      <c r="E65"/>
    </row>
    <row r="66" spans="1:5" s="26" customFormat="1" ht="15.75" x14ac:dyDescent="0.25">
      <c r="A66"/>
      <c r="B66"/>
      <c r="C66"/>
      <c r="D66"/>
      <c r="E66"/>
    </row>
    <row r="67" spans="1:5" s="26" customFormat="1" ht="15.75" x14ac:dyDescent="0.25">
      <c r="A67"/>
      <c r="B67"/>
      <c r="C67"/>
      <c r="D67"/>
      <c r="E67"/>
    </row>
    <row r="68" spans="1:5" s="26" customFormat="1" ht="15.75" x14ac:dyDescent="0.25">
      <c r="A68"/>
      <c r="B68"/>
      <c r="C68"/>
      <c r="D68"/>
      <c r="E68"/>
    </row>
    <row r="69" spans="1:5" s="26" customFormat="1" ht="15.75" x14ac:dyDescent="0.25">
      <c r="A69"/>
      <c r="B69"/>
      <c r="C69"/>
      <c r="D69"/>
      <c r="E69"/>
    </row>
    <row r="70" spans="1:5" s="26" customFormat="1" ht="15.75" x14ac:dyDescent="0.25">
      <c r="A70"/>
      <c r="B70"/>
      <c r="C70"/>
      <c r="D70"/>
      <c r="E70"/>
    </row>
    <row r="71" spans="1:5" s="26" customFormat="1" ht="15.75" x14ac:dyDescent="0.25">
      <c r="A71"/>
      <c r="B71"/>
      <c r="C71"/>
      <c r="D71"/>
      <c r="E71"/>
    </row>
    <row r="72" spans="1:5" s="26" customFormat="1" ht="15.75" x14ac:dyDescent="0.25">
      <c r="A72"/>
      <c r="B72"/>
      <c r="C72"/>
      <c r="D72"/>
      <c r="E72"/>
    </row>
    <row r="73" spans="1:5" s="26" customFormat="1" ht="15.75" x14ac:dyDescent="0.25">
      <c r="A73"/>
      <c r="B73"/>
      <c r="C73"/>
      <c r="D73"/>
      <c r="E73"/>
    </row>
    <row r="74" spans="1:5" s="26" customFormat="1" ht="15.75" x14ac:dyDescent="0.25">
      <c r="A74"/>
      <c r="B74"/>
      <c r="C74"/>
      <c r="D74"/>
      <c r="E74"/>
    </row>
    <row r="75" spans="1:5" s="26" customFormat="1" ht="15.75" x14ac:dyDescent="0.25">
      <c r="A75"/>
      <c r="B75"/>
      <c r="C75"/>
      <c r="D75"/>
      <c r="E75"/>
    </row>
    <row r="76" spans="1:5" s="26" customFormat="1" ht="15.75" x14ac:dyDescent="0.25">
      <c r="A76"/>
      <c r="B76"/>
      <c r="C76"/>
      <c r="D76"/>
      <c r="E76"/>
    </row>
    <row r="77" spans="1:5" s="26" customFormat="1" ht="15.75" x14ac:dyDescent="0.25">
      <c r="A77"/>
      <c r="B77"/>
      <c r="C77"/>
      <c r="D77"/>
      <c r="E77"/>
    </row>
    <row r="78" spans="1:5" s="26" customFormat="1" ht="15.75" x14ac:dyDescent="0.25">
      <c r="A78"/>
      <c r="B78"/>
      <c r="C78"/>
      <c r="D78"/>
      <c r="E78"/>
    </row>
    <row r="79" spans="1:5" s="26" customFormat="1" ht="15.75" x14ac:dyDescent="0.25">
      <c r="A79"/>
      <c r="B79"/>
      <c r="C79"/>
      <c r="D79"/>
      <c r="E79"/>
    </row>
    <row r="80" spans="1:5" s="26" customFormat="1" ht="15.75" x14ac:dyDescent="0.25">
      <c r="A80"/>
      <c r="B80"/>
      <c r="C80"/>
      <c r="D80"/>
      <c r="E80"/>
    </row>
    <row r="81" spans="1:5" s="26" customFormat="1" ht="15.75" x14ac:dyDescent="0.25">
      <c r="A81"/>
      <c r="B81"/>
      <c r="C81"/>
      <c r="D81"/>
      <c r="E81"/>
    </row>
    <row r="82" spans="1:5" s="26" customFormat="1" ht="15.75" x14ac:dyDescent="0.25">
      <c r="A82"/>
      <c r="B82"/>
      <c r="C82"/>
      <c r="D82"/>
      <c r="E82"/>
    </row>
    <row r="83" spans="1:5" s="26" customFormat="1" ht="15.75" x14ac:dyDescent="0.25">
      <c r="A83"/>
      <c r="B83"/>
      <c r="C83"/>
      <c r="D83"/>
      <c r="E83"/>
    </row>
    <row r="84" spans="1:5" s="26" customFormat="1" ht="15.75" x14ac:dyDescent="0.25">
      <c r="A84"/>
      <c r="B84"/>
      <c r="C84"/>
      <c r="D84"/>
      <c r="E84"/>
    </row>
    <row r="85" spans="1:5" s="26" customFormat="1" ht="15.75" x14ac:dyDescent="0.25">
      <c r="A85"/>
      <c r="B85"/>
      <c r="C85"/>
      <c r="D85"/>
      <c r="E85"/>
    </row>
    <row r="86" spans="1:5" s="26" customFormat="1" ht="15.75" x14ac:dyDescent="0.25">
      <c r="A86"/>
      <c r="B86"/>
      <c r="C86"/>
      <c r="D86"/>
      <c r="E86"/>
    </row>
    <row r="87" spans="1:5" s="26" customFormat="1" ht="15.75" x14ac:dyDescent="0.25">
      <c r="A87"/>
      <c r="B87"/>
      <c r="C87"/>
      <c r="D87"/>
      <c r="E87"/>
    </row>
    <row r="88" spans="1:5" s="26" customFormat="1" ht="15.75" x14ac:dyDescent="0.25">
      <c r="A88"/>
      <c r="B88"/>
      <c r="C88"/>
      <c r="D88"/>
      <c r="E88"/>
    </row>
    <row r="89" spans="1:5" s="26" customFormat="1" ht="15.75" x14ac:dyDescent="0.25">
      <c r="A89"/>
      <c r="B89"/>
      <c r="C89"/>
      <c r="D89"/>
      <c r="E89"/>
    </row>
    <row r="90" spans="1:5" s="26" customFormat="1" ht="15.75" x14ac:dyDescent="0.25">
      <c r="A90"/>
      <c r="B90"/>
      <c r="C90"/>
      <c r="D90"/>
      <c r="E90"/>
    </row>
    <row r="91" spans="1:5" s="26" customFormat="1" ht="15.75" x14ac:dyDescent="0.25">
      <c r="A91"/>
      <c r="B91"/>
      <c r="C91"/>
      <c r="D91"/>
      <c r="E91"/>
    </row>
    <row r="92" spans="1:5" s="26" customFormat="1" ht="15.75" x14ac:dyDescent="0.25">
      <c r="A92"/>
      <c r="B92"/>
      <c r="C92"/>
      <c r="D92"/>
      <c r="E92"/>
    </row>
    <row r="93" spans="1:5" s="26" customFormat="1" ht="15.75" x14ac:dyDescent="0.25">
      <c r="A93"/>
      <c r="B93"/>
      <c r="C93"/>
      <c r="D93"/>
      <c r="E93"/>
    </row>
    <row r="94" spans="1:5" s="26" customFormat="1" ht="15.75" x14ac:dyDescent="0.25">
      <c r="A94"/>
      <c r="B94"/>
      <c r="C94"/>
      <c r="D94"/>
      <c r="E94"/>
    </row>
    <row r="95" spans="1:5" s="26" customFormat="1" ht="15.75" x14ac:dyDescent="0.25">
      <c r="A95"/>
      <c r="B95"/>
      <c r="C95"/>
      <c r="D95"/>
      <c r="E95"/>
    </row>
    <row r="96" spans="1:5" s="26" customFormat="1" ht="15.75" x14ac:dyDescent="0.25">
      <c r="A96"/>
      <c r="B96"/>
      <c r="C96"/>
      <c r="D96"/>
      <c r="E96"/>
    </row>
    <row r="97" spans="1:8" s="26" customFormat="1" ht="15.75" x14ac:dyDescent="0.25">
      <c r="A97"/>
      <c r="B97"/>
      <c r="C97"/>
      <c r="D97"/>
      <c r="E97"/>
    </row>
    <row r="98" spans="1:8" s="26" customFormat="1" ht="15.75" x14ac:dyDescent="0.25">
      <c r="A98"/>
      <c r="B98"/>
      <c r="C98"/>
      <c r="D98"/>
      <c r="E98"/>
    </row>
    <row r="99" spans="1:8" s="26" customFormat="1" ht="15.75" x14ac:dyDescent="0.25">
      <c r="A99"/>
      <c r="B99"/>
      <c r="C99"/>
      <c r="D99"/>
      <c r="E99"/>
    </row>
    <row r="100" spans="1:8" s="26" customFormat="1" ht="15.75" x14ac:dyDescent="0.25">
      <c r="A100"/>
      <c r="B100"/>
      <c r="C100"/>
      <c r="D100"/>
      <c r="E100"/>
    </row>
    <row r="101" spans="1:8" s="26" customFormat="1" ht="15.75" x14ac:dyDescent="0.25">
      <c r="A101"/>
      <c r="B101"/>
      <c r="C101"/>
      <c r="D101"/>
      <c r="E101"/>
    </row>
    <row r="102" spans="1:8" s="26" customFormat="1" ht="15.75" x14ac:dyDescent="0.25">
      <c r="A102"/>
      <c r="B102"/>
      <c r="C102"/>
      <c r="D102"/>
      <c r="E102"/>
    </row>
    <row r="103" spans="1:8" s="26" customFormat="1" ht="15.75" x14ac:dyDescent="0.25">
      <c r="A103"/>
      <c r="B103"/>
      <c r="C103"/>
      <c r="D103"/>
      <c r="E103"/>
    </row>
    <row r="104" spans="1:8" s="26" customFormat="1" ht="25.5" customHeight="1" x14ac:dyDescent="0.25">
      <c r="A104"/>
      <c r="B104"/>
      <c r="C104"/>
      <c r="D104"/>
      <c r="E104"/>
      <c r="H104" s="26" t="s">
        <v>42</v>
      </c>
    </row>
    <row r="105" spans="1:8" s="26" customFormat="1" ht="15.75" customHeight="1" x14ac:dyDescent="0.25">
      <c r="A105"/>
      <c r="B105"/>
      <c r="C105"/>
      <c r="D105"/>
      <c r="E105"/>
    </row>
    <row r="106" spans="1:8" s="26" customFormat="1" ht="15.75" customHeight="1" x14ac:dyDescent="0.25">
      <c r="A106"/>
      <c r="B106"/>
      <c r="C106"/>
      <c r="D106"/>
      <c r="E106"/>
    </row>
    <row r="107" spans="1:8" s="26" customFormat="1" ht="15.75" x14ac:dyDescent="0.25">
      <c r="A107"/>
      <c r="B107"/>
      <c r="C107"/>
      <c r="D107"/>
      <c r="E107"/>
    </row>
    <row r="108" spans="1:8" s="26" customFormat="1" ht="15.75" customHeight="1" x14ac:dyDescent="0.25">
      <c r="A108"/>
      <c r="B108"/>
      <c r="C108"/>
      <c r="D108"/>
      <c r="E108"/>
    </row>
    <row r="109" spans="1:8" s="26" customFormat="1" ht="15.75" x14ac:dyDescent="0.25">
      <c r="A109"/>
      <c r="B109"/>
      <c r="C109"/>
      <c r="D109"/>
      <c r="E109"/>
    </row>
  </sheetData>
  <mergeCells count="2">
    <mergeCell ref="A2:E2"/>
    <mergeCell ref="A3:XFD3"/>
  </mergeCells>
  <phoneticPr fontId="7" type="noConversion"/>
  <pageMargins left="0.7" right="0.7" top="0.75" bottom="0.75" header="0.3" footer="0.3"/>
  <pageSetup paperSize="9" scale="6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0"/>
  <sheetViews>
    <sheetView view="pageBreakPreview" topLeftCell="A16" zoomScaleNormal="100" zoomScaleSheetLayoutView="100" workbookViewId="0">
      <selection activeCell="C32" sqref="C32"/>
    </sheetView>
  </sheetViews>
  <sheetFormatPr defaultRowHeight="15" x14ac:dyDescent="0.25"/>
  <cols>
    <col min="1" max="1" width="20.140625" customWidth="1"/>
    <col min="2" max="2" width="52.5703125" bestFit="1" customWidth="1"/>
    <col min="3" max="3" width="18.85546875" customWidth="1"/>
    <col min="4" max="4" width="11.85546875" customWidth="1"/>
    <col min="5" max="5" width="42.85546875" bestFit="1" customWidth="1"/>
  </cols>
  <sheetData>
    <row r="1" spans="1:5" x14ac:dyDescent="0.25">
      <c r="A1" s="15" t="s">
        <v>37</v>
      </c>
    </row>
    <row r="2" spans="1:5" x14ac:dyDescent="0.25">
      <c r="A2" s="54" t="s">
        <v>34</v>
      </c>
      <c r="B2" s="54"/>
      <c r="C2" s="54"/>
      <c r="D2" s="54"/>
      <c r="E2" s="54"/>
    </row>
    <row r="3" spans="1:5" ht="21" customHeight="1" x14ac:dyDescent="0.25">
      <c r="A3" s="54" t="s">
        <v>20</v>
      </c>
      <c r="B3" s="54"/>
      <c r="C3" s="54"/>
      <c r="D3" s="54"/>
      <c r="E3" s="54"/>
    </row>
    <row r="4" spans="1:5" ht="21" customHeight="1" x14ac:dyDescent="0.25">
      <c r="A4" s="54" t="s">
        <v>21</v>
      </c>
      <c r="B4" s="54"/>
      <c r="C4" s="54"/>
      <c r="D4" s="54"/>
      <c r="E4" s="54"/>
    </row>
    <row r="5" spans="1:5" ht="24" customHeight="1" x14ac:dyDescent="0.25">
      <c r="A5" s="54" t="s">
        <v>35</v>
      </c>
      <c r="B5" s="54"/>
      <c r="C5" s="54"/>
      <c r="D5" s="54"/>
      <c r="E5" s="54"/>
    </row>
    <row r="6" spans="1:5" ht="30" customHeight="1" x14ac:dyDescent="0.25">
      <c r="A6" s="54" t="s">
        <v>36</v>
      </c>
      <c r="B6" s="54"/>
      <c r="C6" s="54"/>
      <c r="D6" s="54"/>
      <c r="E6" s="54"/>
    </row>
    <row r="7" spans="1:5" ht="34.5" customHeight="1" x14ac:dyDescent="0.25">
      <c r="A7" s="54" t="s">
        <v>22</v>
      </c>
      <c r="B7" s="54"/>
      <c r="C7" s="54"/>
      <c r="D7" s="54"/>
      <c r="E7" s="54"/>
    </row>
    <row r="8" spans="1:5" x14ac:dyDescent="0.25">
      <c r="A8" s="21" t="s">
        <v>23</v>
      </c>
      <c r="B8" s="22"/>
      <c r="C8" s="22"/>
      <c r="D8" s="22"/>
      <c r="E8" s="22"/>
    </row>
    <row r="9" spans="1:5" ht="36.75" customHeight="1" x14ac:dyDescent="0.25">
      <c r="A9" s="54" t="s">
        <v>38</v>
      </c>
      <c r="B9" s="54"/>
      <c r="C9" s="54"/>
      <c r="D9" s="54"/>
      <c r="E9" s="54"/>
    </row>
    <row r="10" spans="1:5" x14ac:dyDescent="0.25">
      <c r="A10" s="17" t="s">
        <v>24</v>
      </c>
      <c r="B10" s="17" t="s">
        <v>25</v>
      </c>
    </row>
    <row r="11" spans="1:5" ht="21" customHeight="1" x14ac:dyDescent="0.25">
      <c r="A11" s="8" t="s">
        <v>26</v>
      </c>
      <c r="B11" s="19" t="s">
        <v>27</v>
      </c>
    </row>
    <row r="12" spans="1:5" ht="45" x14ac:dyDescent="0.25">
      <c r="A12" s="18" t="s">
        <v>28</v>
      </c>
      <c r="B12" s="19" t="s">
        <v>29</v>
      </c>
    </row>
    <row r="13" spans="1:5" ht="24.75" customHeight="1" x14ac:dyDescent="0.25">
      <c r="A13" s="8" t="s">
        <v>30</v>
      </c>
      <c r="B13" s="19" t="s">
        <v>31</v>
      </c>
    </row>
    <row r="15" spans="1:5" ht="15.75" x14ac:dyDescent="0.25">
      <c r="A15" s="16" t="s">
        <v>19</v>
      </c>
    </row>
    <row r="16" spans="1:5" ht="15.75" x14ac:dyDescent="0.25">
      <c r="A16" s="1" t="s">
        <v>0</v>
      </c>
    </row>
    <row r="17" spans="1:5" x14ac:dyDescent="0.25">
      <c r="A17" s="11" t="s">
        <v>1</v>
      </c>
      <c r="B17" s="10" t="s">
        <v>2</v>
      </c>
    </row>
    <row r="18" spans="1:5" ht="15.75" x14ac:dyDescent="0.25">
      <c r="A18" s="12">
        <v>41659</v>
      </c>
      <c r="B18" s="8">
        <v>2000</v>
      </c>
    </row>
    <row r="19" spans="1:5" ht="15.75" x14ac:dyDescent="0.25">
      <c r="A19" s="12">
        <v>41669</v>
      </c>
      <c r="B19" s="13">
        <v>10000</v>
      </c>
    </row>
    <row r="20" spans="1:5" ht="15.75" x14ac:dyDescent="0.25">
      <c r="A20" s="7"/>
      <c r="B20" s="8"/>
    </row>
    <row r="21" spans="1:5" ht="15.75" x14ac:dyDescent="0.25">
      <c r="A21" s="3" t="s">
        <v>3</v>
      </c>
      <c r="B21" s="4">
        <f>SUM(B18:B20)</f>
        <v>12000</v>
      </c>
    </row>
    <row r="22" spans="1:5" ht="15.75" x14ac:dyDescent="0.25">
      <c r="A22" s="2"/>
    </row>
    <row r="23" spans="1:5" ht="15.75" x14ac:dyDescent="0.25">
      <c r="A23" s="1" t="s">
        <v>4</v>
      </c>
    </row>
    <row r="24" spans="1:5" ht="45" x14ac:dyDescent="0.25">
      <c r="A24" s="11" t="s">
        <v>8</v>
      </c>
      <c r="B24" s="11" t="s">
        <v>9</v>
      </c>
      <c r="C24" s="11" t="s">
        <v>32</v>
      </c>
      <c r="D24" s="11" t="s">
        <v>10</v>
      </c>
      <c r="E24" s="11" t="s">
        <v>11</v>
      </c>
    </row>
    <row r="25" spans="1:5" ht="15.75" x14ac:dyDescent="0.25">
      <c r="A25" s="12">
        <v>41660</v>
      </c>
      <c r="B25" s="14">
        <v>5000</v>
      </c>
      <c r="C25" s="14" t="s">
        <v>12</v>
      </c>
      <c r="D25" s="8"/>
      <c r="E25" s="8" t="s">
        <v>13</v>
      </c>
    </row>
    <row r="26" spans="1:5" ht="15.75" x14ac:dyDescent="0.25">
      <c r="A26" s="12">
        <v>41662</v>
      </c>
      <c r="B26" s="14">
        <v>300</v>
      </c>
      <c r="C26" s="14" t="s">
        <v>14</v>
      </c>
      <c r="D26" s="9">
        <v>98654</v>
      </c>
      <c r="E26" s="8" t="s">
        <v>33</v>
      </c>
    </row>
    <row r="27" spans="1:5" ht="15.75" x14ac:dyDescent="0.25">
      <c r="A27" s="12">
        <v>41662</v>
      </c>
      <c r="B27" s="14">
        <v>4000</v>
      </c>
      <c r="C27" s="14" t="s">
        <v>15</v>
      </c>
      <c r="D27" s="9">
        <v>3456789</v>
      </c>
      <c r="E27" s="8" t="s">
        <v>16</v>
      </c>
    </row>
    <row r="28" spans="1:5" ht="15.75" x14ac:dyDescent="0.25">
      <c r="A28" s="12">
        <v>41668</v>
      </c>
      <c r="B28" s="14">
        <v>2700</v>
      </c>
      <c r="C28" s="14" t="s">
        <v>17</v>
      </c>
      <c r="D28" s="9">
        <v>12</v>
      </c>
      <c r="E28" s="8" t="s">
        <v>18</v>
      </c>
    </row>
    <row r="29" spans="1:5" ht="15.75" x14ac:dyDescent="0.25">
      <c r="A29" s="6" t="s">
        <v>5</v>
      </c>
      <c r="B29" s="5">
        <f>SUM(B25:B28)</f>
        <v>12000</v>
      </c>
      <c r="C29" s="8"/>
      <c r="D29" s="8"/>
      <c r="E29" s="8"/>
    </row>
    <row r="30" spans="1:5" ht="15.75" x14ac:dyDescent="0.25">
      <c r="A30" s="6" t="s">
        <v>6</v>
      </c>
      <c r="B30" s="5">
        <f>B21-B29</f>
        <v>0</v>
      </c>
      <c r="C30" s="20"/>
      <c r="D30" s="20"/>
      <c r="E30" s="20"/>
    </row>
  </sheetData>
  <mergeCells count="7">
    <mergeCell ref="A9:E9"/>
    <mergeCell ref="A2:E2"/>
    <mergeCell ref="A3:E3"/>
    <mergeCell ref="A4:E4"/>
    <mergeCell ref="A5:E5"/>
    <mergeCell ref="A6:E6"/>
    <mergeCell ref="A7:E7"/>
  </mergeCells>
  <phoneticPr fontId="7" type="noConversion"/>
  <pageMargins left="0.7" right="0.7" top="0.75" bottom="0.75" header="0.3" footer="0.3"/>
  <pageSetup paperSize="9" scale="5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Лист1</vt:lpstr>
      <vt:lpstr>Инструкция </vt:lpstr>
      <vt:lpstr>'Инструкция '!Область_печати</vt:lpstr>
      <vt:lpstr>Лист1!Область_печати</vt:lpstr>
    </vt:vector>
  </TitlesOfParts>
  <Company>АвистаМодуль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Пичугина Света</dc:creator>
  <cp:lastModifiedBy>Hamster</cp:lastModifiedBy>
  <cp:lastPrinted>2025-12-02T15:59:53Z</cp:lastPrinted>
  <dcterms:created xsi:type="dcterms:W3CDTF">2014-01-22T06:52:49Z</dcterms:created>
  <dcterms:modified xsi:type="dcterms:W3CDTF">2025-12-03T06:11:13Z</dcterms:modified>
</cp:coreProperties>
</file>