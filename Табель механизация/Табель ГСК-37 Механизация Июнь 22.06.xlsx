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ster\Documents\Табель механизация\"/>
    </mc:Choice>
  </mc:AlternateContent>
  <xr:revisionPtr revIDLastSave="0" documentId="13_ncr:1_{CA0A1E11-559A-4695-885E-1687C4D26C3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Май часы" sheetId="1" r:id="rId1"/>
    <sheet name="Май рейсы" sheetId="2" r:id="rId2"/>
  </sheets>
  <definedNames>
    <definedName name="_xlnm.Print_Area" localSheetId="1">'Май рейсы'!$B$1:$AI$39</definedName>
    <definedName name="_xlnm.Print_Area" localSheetId="0">'Май часы'!$B$1:$AH$36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5" i="2" l="1"/>
  <c r="AH18" i="1" l="1"/>
  <c r="AH17" i="1"/>
  <c r="AH24" i="1" l="1"/>
  <c r="AH26" i="1"/>
  <c r="AH31" i="2"/>
  <c r="AH19" i="2"/>
  <c r="AH13" i="2"/>
  <c r="AH11" i="1"/>
  <c r="AH12" i="1"/>
  <c r="AH13" i="1"/>
  <c r="AH14" i="1"/>
  <c r="AH15" i="1"/>
  <c r="AH16" i="1"/>
  <c r="AH19" i="1"/>
  <c r="AH20" i="1"/>
  <c r="AH21" i="1"/>
  <c r="AH22" i="1"/>
  <c r="AH23" i="1"/>
  <c r="AH25" i="1"/>
  <c r="AH27" i="1"/>
  <c r="AH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ГСК Задумин</author>
  </authors>
  <commentList>
    <comment ref="G16" authorId="0" shapeId="0" xr:uid="{013B1E49-8AC8-4062-94DA-8F0CF5EEEC0A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мешке от пки +на сму
</t>
        </r>
      </text>
    </comment>
    <comment ref="T19" authorId="0" shapeId="0" xr:uid="{24E4B1E3-545C-4670-A693-D0327ED8640E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Потерял борт в строителе
</t>
        </r>
      </text>
    </comment>
    <comment ref="C20" authorId="0" shapeId="0" xr:uid="{6A737645-5959-46A6-B04C-359336617344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экскаваторе
</t>
        </r>
      </text>
    </comment>
    <comment ref="E22" authorId="0" shapeId="0" xr:uid="{05CBF1FC-10A2-44FD-9CAB-BE1DA812EAC8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Забирал faw  с сервиса
</t>
        </r>
      </text>
    </comment>
    <comment ref="F22" authorId="0" shapeId="0" xr:uid="{5A089E1D-A212-4D31-906C-60BDEAF7835A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фав
</t>
        </r>
      </text>
    </comment>
    <comment ref="N22" authorId="0" shapeId="0" xr:uid="{AAD27E45-04FA-4A04-A34D-92CB8128F604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манипуляторе </t>
        </r>
      </text>
    </comment>
    <comment ref="Q22" authorId="0" shapeId="0" xr:uid="{61784862-3049-400C-997A-27AEBEDBBABB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манипуляторе
</t>
        </r>
      </text>
    </comment>
    <comment ref="E23" authorId="0" shapeId="0" xr:uid="{3E2EF8EB-1F62-4189-8D29-8F11D4C6E2FC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бул
</t>
        </r>
      </text>
    </comment>
    <comment ref="F23" authorId="0" shapeId="0" xr:uid="{E58CA7CF-FAF3-49D1-99C8-FD37F761C7AB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Работал на кэйс
</t>
        </r>
      </text>
    </comment>
  </commentList>
</comments>
</file>

<file path=xl/sharedStrings.xml><?xml version="1.0" encoding="utf-8"?>
<sst xmlns="http://schemas.openxmlformats.org/spreadsheetml/2006/main" count="112" uniqueCount="65">
  <si>
    <t>наименование организации</t>
  </si>
  <si>
    <t>Ф. И. О.</t>
  </si>
  <si>
    <t>наименование объекта</t>
  </si>
  <si>
    <t>Шилов М.Г.</t>
  </si>
  <si>
    <t>ООО "ГСК-37"</t>
  </si>
  <si>
    <t>Тамбовский Пороховой завод г. Котовск</t>
  </si>
  <si>
    <t>Руководитель ОП ГСК-37 Тамбов</t>
  </si>
  <si>
    <t>Механизация от рейсов</t>
  </si>
  <si>
    <t>Часы</t>
  </si>
  <si>
    <t>№ п/п</t>
  </si>
  <si>
    <t>Баранов Анатолий Викторович</t>
  </si>
  <si>
    <t>Болотников Евгений Павлович</t>
  </si>
  <si>
    <t>Боронщиков Николай Сергеевич</t>
  </si>
  <si>
    <t>Бровкин Вадим Александрович</t>
  </si>
  <si>
    <t>Зайцев Андрей Вячеславович</t>
  </si>
  <si>
    <t>Киселев Алексей Алексеевич</t>
  </si>
  <si>
    <t>Лебедев Максим Михайлович</t>
  </si>
  <si>
    <t>Морозов Павел Михайлович</t>
  </si>
  <si>
    <t>Полещук Сергей Александрович</t>
  </si>
  <si>
    <t>Терехов Денис Сергеевич</t>
  </si>
  <si>
    <t>Филатов Эдуард Львович</t>
  </si>
  <si>
    <t>Филиппов Илья Сергеевич</t>
  </si>
  <si>
    <t>Юрин Александр Сергеевич</t>
  </si>
  <si>
    <t>Юров Андрей Евгеньевич</t>
  </si>
  <si>
    <t xml:space="preserve">ООО "ГСК-37" </t>
  </si>
  <si>
    <t>ООО "Монтажник"</t>
  </si>
  <si>
    <t>ООО "Альянс"</t>
  </si>
  <si>
    <t>Механизация по часам</t>
  </si>
  <si>
    <t>Сахно Николай Николаевич</t>
  </si>
  <si>
    <t>дата        31.05.2025 г.</t>
  </si>
  <si>
    <t>Трудоустроен</t>
  </si>
  <si>
    <t>МАЙ</t>
  </si>
  <si>
    <t>Липецк</t>
  </si>
  <si>
    <t>Завод, часы</t>
  </si>
  <si>
    <t>Липецк, рейс</t>
  </si>
  <si>
    <t>Лужки, рейс</t>
  </si>
  <si>
    <t>ИТОГО</t>
  </si>
  <si>
    <t>Рейс/ ремонт</t>
  </si>
  <si>
    <t>Зяблов Олег Валентинович</t>
  </si>
  <si>
    <t>Порошин Сергей Викторович</t>
  </si>
  <si>
    <t>Табель за Июнь 2025г.</t>
  </si>
  <si>
    <t xml:space="preserve">Мещеряков Алексей </t>
  </si>
  <si>
    <t>Заправка</t>
  </si>
  <si>
    <t>Мещериков Виталий</t>
  </si>
  <si>
    <t>4ч</t>
  </si>
  <si>
    <t xml:space="preserve">Ремонт </t>
  </si>
  <si>
    <t>не вышел</t>
  </si>
  <si>
    <t>н</t>
  </si>
  <si>
    <t>заболел</t>
  </si>
  <si>
    <t>отпуск</t>
  </si>
  <si>
    <t>на рыбалке</t>
  </si>
  <si>
    <t>прилет</t>
  </si>
  <si>
    <t xml:space="preserve">Полухтин Роман  </t>
  </si>
  <si>
    <t>Июнь</t>
  </si>
  <si>
    <t>штраф за не выход на работу 5к 19 число</t>
  </si>
  <si>
    <t>Мещерский Сергей Николаевич</t>
  </si>
  <si>
    <t>Баранов 1 июля 2 рейса в лужки и 8 ч на заводе</t>
  </si>
  <si>
    <t>Рейсы</t>
  </si>
  <si>
    <t>Лужки</t>
  </si>
  <si>
    <t>2000 в день</t>
  </si>
  <si>
    <t>Всего</t>
  </si>
  <si>
    <t>147200</t>
  </si>
  <si>
    <t>148800</t>
  </si>
  <si>
    <t>157400</t>
  </si>
  <si>
    <t>149200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</si>
</sst>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0.0"/>
  </numFmts>
  <fonts count="2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family val="2"/>
      <charset val="204"/>
    </font>
    <font>
      <u/>
      <sz val="9"/>
      <name val="Arial Cyr"/>
      <family val="2"/>
      <charset val="204"/>
    </font>
    <font>
      <b/>
      <u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sz val="9"/>
      <color rgb="FFFF0000"/>
      <name val="Arial Cyr"/>
      <family val="2"/>
      <charset val="204"/>
    </font>
    <font>
      <sz val="10"/>
      <color rgb="FFFF000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u/>
      <sz val="9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Times New Roman"/>
      <family val="1"/>
      <charset val="204"/>
    </font>
    <font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7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4" fillId="0" borderId="0" applyFont="0" applyFill="0" applyBorder="0" applyAlignment="0" applyProtection="0"/>
  </cellStyleXfs>
  <cellXfs count="2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  <xf numFmtId="0" fontId="0" fillId="0" borderId="0" xfId="0" applyFont="1" applyBorder="1"/>
    <xf numFmtId="0" fontId="6" fillId="0" borderId="0" xfId="0" applyFont="1"/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/>
    <xf numFmtId="0" fontId="0" fillId="0" borderId="0" xfId="0" applyFont="1"/>
    <xf numFmtId="0" fontId="16" fillId="0" borderId="0" xfId="0" applyFont="1" applyBorder="1"/>
    <xf numFmtId="0" fontId="17" fillId="0" borderId="0" xfId="0" applyFont="1" applyBorder="1"/>
    <xf numFmtId="0" fontId="17" fillId="0" borderId="0" xfId="0" applyFont="1"/>
    <xf numFmtId="0" fontId="6" fillId="0" borderId="0" xfId="0" applyFont="1" applyFill="1"/>
    <xf numFmtId="0" fontId="0" fillId="0" borderId="0" xfId="0" applyFont="1" applyFill="1"/>
    <xf numFmtId="0" fontId="0" fillId="0" borderId="0" xfId="0" applyFill="1"/>
    <xf numFmtId="0" fontId="15" fillId="0" borderId="0" xfId="0" applyFont="1"/>
    <xf numFmtId="0" fontId="7" fillId="0" borderId="0" xfId="0" applyFont="1"/>
    <xf numFmtId="0" fontId="15" fillId="0" borderId="0" xfId="0" applyFont="1" applyBorder="1"/>
    <xf numFmtId="0" fontId="18" fillId="3" borderId="1" xfId="0" applyFont="1" applyFill="1" applyBorder="1" applyAlignment="1">
      <alignment horizontal="center"/>
    </xf>
    <xf numFmtId="49" fontId="19" fillId="0" borderId="15" xfId="0" applyNumberFormat="1" applyFont="1" applyFill="1" applyBorder="1"/>
    <xf numFmtId="0" fontId="18" fillId="3" borderId="8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8" fillId="3" borderId="11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/>
    <xf numFmtId="0" fontId="18" fillId="0" borderId="0" xfId="0" applyFont="1" applyBorder="1"/>
    <xf numFmtId="0" fontId="19" fillId="0" borderId="0" xfId="0" applyFont="1" applyFill="1" applyBorder="1"/>
    <xf numFmtId="0" fontId="18" fillId="0" borderId="0" xfId="0" applyFont="1"/>
    <xf numFmtId="0" fontId="22" fillId="0" borderId="0" xfId="0" applyFont="1" applyBorder="1" applyAlignment="1">
      <alignment horizontal="left"/>
    </xf>
    <xf numFmtId="0" fontId="18" fillId="0" borderId="0" xfId="0" applyFont="1" applyFill="1"/>
    <xf numFmtId="14" fontId="23" fillId="0" borderId="0" xfId="0" applyNumberFormat="1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2" fillId="0" borderId="0" xfId="0" applyFont="1" applyBorder="1"/>
    <xf numFmtId="0" fontId="19" fillId="0" borderId="20" xfId="0" applyFont="1" applyBorder="1"/>
    <xf numFmtId="0" fontId="19" fillId="0" borderId="4" xfId="0" applyFont="1" applyBorder="1" applyAlignment="1">
      <alignment horizontal="center"/>
    </xf>
    <xf numFmtId="49" fontId="19" fillId="0" borderId="26" xfId="0" applyNumberFormat="1" applyFont="1" applyFill="1" applyBorder="1"/>
    <xf numFmtId="0" fontId="19" fillId="0" borderId="9" xfId="0" applyFont="1" applyBorder="1" applyAlignment="1">
      <alignment horizontal="center"/>
    </xf>
    <xf numFmtId="49" fontId="19" fillId="0" borderId="27" xfId="0" applyNumberFormat="1" applyFont="1" applyFill="1" applyBorder="1"/>
    <xf numFmtId="0" fontId="20" fillId="0" borderId="21" xfId="0" applyFont="1" applyBorder="1" applyAlignment="1">
      <alignment horizontal="left"/>
    </xf>
    <xf numFmtId="0" fontId="19" fillId="0" borderId="5" xfId="0" applyFont="1" applyBorder="1"/>
    <xf numFmtId="0" fontId="21" fillId="0" borderId="28" xfId="0" applyFont="1" applyBorder="1" applyAlignment="1">
      <alignment horizontal="left"/>
    </xf>
    <xf numFmtId="0" fontId="18" fillId="3" borderId="12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center"/>
    </xf>
    <xf numFmtId="0" fontId="19" fillId="0" borderId="34" xfId="0" applyFont="1" applyBorder="1" applyAlignment="1">
      <alignment horizontal="center"/>
    </xf>
    <xf numFmtId="49" fontId="19" fillId="0" borderId="7" xfId="0" applyNumberFormat="1" applyFont="1" applyFill="1" applyBorder="1"/>
    <xf numFmtId="0" fontId="19" fillId="0" borderId="36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39" xfId="0" applyFont="1" applyBorder="1"/>
    <xf numFmtId="0" fontId="18" fillId="0" borderId="33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9" fillId="0" borderId="1" xfId="0" applyFont="1" applyFill="1" applyBorder="1"/>
    <xf numFmtId="49" fontId="19" fillId="0" borderId="1" xfId="0" applyNumberFormat="1" applyFont="1" applyFill="1" applyBorder="1"/>
    <xf numFmtId="0" fontId="18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/>
    <xf numFmtId="2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19" fillId="0" borderId="40" xfId="0" applyFont="1" applyBorder="1" applyAlignment="1">
      <alignment horizontal="center"/>
    </xf>
    <xf numFmtId="49" fontId="19" fillId="0" borderId="5" xfId="0" applyNumberFormat="1" applyFont="1" applyFill="1" applyBorder="1"/>
    <xf numFmtId="0" fontId="19" fillId="0" borderId="39" xfId="0" applyFont="1" applyBorder="1" applyAlignment="1">
      <alignment horizontal="center"/>
    </xf>
    <xf numFmtId="0" fontId="18" fillId="3" borderId="23" xfId="0" applyFont="1" applyFill="1" applyBorder="1" applyAlignment="1">
      <alignment horizontal="center"/>
    </xf>
    <xf numFmtId="0" fontId="19" fillId="0" borderId="35" xfId="0" applyFont="1" applyBorder="1" applyAlignment="1">
      <alignment horizontal="center"/>
    </xf>
    <xf numFmtId="49" fontId="19" fillId="0" borderId="3" xfId="0" applyNumberFormat="1" applyFont="1" applyFill="1" applyBorder="1"/>
    <xf numFmtId="0" fontId="19" fillId="0" borderId="42" xfId="0" applyFont="1" applyBorder="1" applyAlignment="1">
      <alignment horizontal="center"/>
    </xf>
    <xf numFmtId="0" fontId="20" fillId="2" borderId="20" xfId="0" applyFont="1" applyFill="1" applyBorder="1" applyAlignment="1">
      <alignment horizontal="left"/>
    </xf>
    <xf numFmtId="49" fontId="19" fillId="0" borderId="37" xfId="0" applyNumberFormat="1" applyFont="1" applyFill="1" applyBorder="1"/>
    <xf numFmtId="0" fontId="20" fillId="0" borderId="33" xfId="0" applyFont="1" applyBorder="1" applyAlignment="1">
      <alignment horizontal="center"/>
    </xf>
    <xf numFmtId="49" fontId="20" fillId="0" borderId="4" xfId="0" applyNumberFormat="1" applyFont="1" applyFill="1" applyBorder="1"/>
    <xf numFmtId="49" fontId="20" fillId="0" borderId="5" xfId="0" applyNumberFormat="1" applyFont="1" applyFill="1" applyBorder="1"/>
    <xf numFmtId="0" fontId="20" fillId="0" borderId="31" xfId="0" applyFont="1" applyBorder="1" applyAlignment="1">
      <alignment horizontal="center"/>
    </xf>
    <xf numFmtId="0" fontId="0" fillId="0" borderId="0" xfId="0" applyFont="1" applyFill="1" applyBorder="1"/>
    <xf numFmtId="0" fontId="15" fillId="0" borderId="0" xfId="0" applyFont="1" applyFill="1"/>
    <xf numFmtId="0" fontId="15" fillId="0" borderId="0" xfId="0" applyFont="1" applyFill="1" applyBorder="1"/>
    <xf numFmtId="0" fontId="15" fillId="0" borderId="0" xfId="0" applyFont="1" applyBorder="1" applyAlignment="1">
      <alignment horizontal="center"/>
    </xf>
    <xf numFmtId="0" fontId="15" fillId="0" borderId="1" xfId="0" applyFont="1" applyBorder="1"/>
    <xf numFmtId="0" fontId="20" fillId="0" borderId="40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18" fillId="2" borderId="47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18" fillId="2" borderId="41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54" xfId="0" applyFont="1" applyFill="1" applyBorder="1" applyAlignment="1">
      <alignment horizontal="center" vertical="center"/>
    </xf>
    <xf numFmtId="165" fontId="18" fillId="2" borderId="11" xfId="0" applyNumberFormat="1" applyFont="1" applyFill="1" applyBorder="1" applyAlignment="1">
      <alignment horizontal="center"/>
    </xf>
    <xf numFmtId="0" fontId="18" fillId="2" borderId="44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/>
    </xf>
    <xf numFmtId="0" fontId="18" fillId="2" borderId="3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3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36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8" fillId="2" borderId="46" xfId="0" applyFont="1" applyFill="1" applyBorder="1" applyAlignment="1">
      <alignment horizontal="center"/>
    </xf>
    <xf numFmtId="0" fontId="18" fillId="3" borderId="49" xfId="0" applyFont="1" applyFill="1" applyBorder="1" applyAlignment="1">
      <alignment horizontal="center"/>
    </xf>
    <xf numFmtId="0" fontId="18" fillId="3" borderId="47" xfId="0" applyFont="1" applyFill="1" applyBorder="1" applyAlignment="1">
      <alignment horizontal="center"/>
    </xf>
    <xf numFmtId="0" fontId="18" fillId="3" borderId="50" xfId="0" applyFont="1" applyFill="1" applyBorder="1" applyAlignment="1">
      <alignment horizontal="center"/>
    </xf>
    <xf numFmtId="0" fontId="18" fillId="3" borderId="51" xfId="0" applyFont="1" applyFill="1" applyBorder="1" applyAlignment="1">
      <alignment horizontal="center"/>
    </xf>
    <xf numFmtId="0" fontId="18" fillId="3" borderId="53" xfId="0" applyFont="1" applyFill="1" applyBorder="1" applyAlignment="1">
      <alignment horizontal="center"/>
    </xf>
    <xf numFmtId="0" fontId="18" fillId="3" borderId="56" xfId="0" applyFont="1" applyFill="1" applyBorder="1" applyAlignment="1">
      <alignment horizontal="center"/>
    </xf>
    <xf numFmtId="0" fontId="18" fillId="3" borderId="48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3" borderId="14" xfId="0" applyFont="1" applyFill="1" applyBorder="1" applyAlignment="1">
      <alignment horizontal="center"/>
    </xf>
    <xf numFmtId="0" fontId="18" fillId="3" borderId="29" xfId="0" applyFont="1" applyFill="1" applyBorder="1" applyAlignment="1">
      <alignment horizontal="center"/>
    </xf>
    <xf numFmtId="0" fontId="19" fillId="3" borderId="23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8" fillId="2" borderId="59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49" fontId="20" fillId="5" borderId="5" xfId="0" applyNumberFormat="1" applyFont="1" applyFill="1" applyBorder="1"/>
    <xf numFmtId="49" fontId="20" fillId="5" borderId="4" xfId="0" applyNumberFormat="1" applyFont="1" applyFill="1" applyBorder="1"/>
    <xf numFmtId="0" fontId="18" fillId="2" borderId="30" xfId="0" applyNumberFormat="1" applyFont="1" applyFill="1" applyBorder="1" applyAlignment="1">
      <alignment horizontal="center"/>
    </xf>
    <xf numFmtId="0" fontId="18" fillId="3" borderId="30" xfId="0" applyNumberFormat="1" applyFont="1" applyFill="1" applyBorder="1" applyAlignment="1">
      <alignment horizontal="center"/>
    </xf>
    <xf numFmtId="0" fontId="22" fillId="2" borderId="30" xfId="0" applyNumberFormat="1" applyFont="1" applyFill="1" applyBorder="1" applyAlignment="1">
      <alignment horizontal="center"/>
    </xf>
    <xf numFmtId="0" fontId="18" fillId="2" borderId="32" xfId="0" applyNumberFormat="1" applyFont="1" applyFill="1" applyBorder="1" applyAlignment="1">
      <alignment horizontal="center"/>
    </xf>
    <xf numFmtId="0" fontId="18" fillId="2" borderId="25" xfId="0" applyNumberFormat="1" applyFont="1" applyFill="1" applyBorder="1" applyAlignment="1">
      <alignment horizontal="center"/>
    </xf>
    <xf numFmtId="0" fontId="18" fillId="3" borderId="25" xfId="0" applyNumberFormat="1" applyFont="1" applyFill="1" applyBorder="1" applyAlignment="1">
      <alignment horizontal="center"/>
    </xf>
    <xf numFmtId="0" fontId="22" fillId="2" borderId="25" xfId="0" applyNumberFormat="1" applyFont="1" applyFill="1" applyBorder="1" applyAlignment="1">
      <alignment horizontal="center"/>
    </xf>
    <xf numFmtId="0" fontId="18" fillId="2" borderId="52" xfId="0" applyNumberFormat="1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/>
    </xf>
    <xf numFmtId="0" fontId="18" fillId="3" borderId="11" xfId="0" applyNumberFormat="1" applyFont="1" applyFill="1" applyBorder="1" applyAlignment="1">
      <alignment horizontal="center" wrapText="1"/>
    </xf>
    <xf numFmtId="0" fontId="18" fillId="3" borderId="11" xfId="0" applyNumberFormat="1" applyFont="1" applyFill="1" applyBorder="1" applyAlignment="1">
      <alignment horizontal="center"/>
    </xf>
    <xf numFmtId="0" fontId="22" fillId="2" borderId="11" xfId="0" applyNumberFormat="1" applyFont="1" applyFill="1" applyBorder="1" applyAlignment="1">
      <alignment horizontal="center"/>
    </xf>
    <xf numFmtId="0" fontId="18" fillId="2" borderId="26" xfId="0" applyNumberFormat="1" applyFont="1" applyFill="1" applyBorder="1" applyAlignment="1">
      <alignment horizontal="center"/>
    </xf>
    <xf numFmtId="0" fontId="18" fillId="3" borderId="30" xfId="0" applyNumberFormat="1" applyFont="1" applyFill="1" applyBorder="1" applyAlignment="1">
      <alignment horizontal="center" wrapText="1"/>
    </xf>
    <xf numFmtId="0" fontId="18" fillId="3" borderId="25" xfId="0" applyNumberFormat="1" applyFont="1" applyFill="1" applyBorder="1" applyAlignment="1">
      <alignment horizontal="center" wrapText="1"/>
    </xf>
    <xf numFmtId="0" fontId="18" fillId="2" borderId="1" xfId="0" applyNumberFormat="1" applyFont="1" applyFill="1" applyBorder="1" applyAlignment="1">
      <alignment horizontal="center"/>
    </xf>
    <xf numFmtId="0" fontId="18" fillId="3" borderId="1" xfId="0" applyNumberFormat="1" applyFont="1" applyFill="1" applyBorder="1" applyAlignment="1">
      <alignment horizontal="center"/>
    </xf>
    <xf numFmtId="0" fontId="22" fillId="2" borderId="1" xfId="0" applyNumberFormat="1" applyFont="1" applyFill="1" applyBorder="1" applyAlignment="1">
      <alignment horizontal="center"/>
    </xf>
    <xf numFmtId="0" fontId="18" fillId="2" borderId="15" xfId="0" applyNumberFormat="1" applyFont="1" applyFill="1" applyBorder="1" applyAlignment="1">
      <alignment horizontal="center"/>
    </xf>
    <xf numFmtId="0" fontId="18" fillId="2" borderId="23" xfId="0" applyNumberFormat="1" applyFont="1" applyFill="1" applyBorder="1" applyAlignment="1">
      <alignment horizontal="center"/>
    </xf>
    <xf numFmtId="0" fontId="18" fillId="3" borderId="23" xfId="0" applyNumberFormat="1" applyFont="1" applyFill="1" applyBorder="1" applyAlignment="1">
      <alignment horizontal="center"/>
    </xf>
    <xf numFmtId="0" fontId="22" fillId="2" borderId="23" xfId="0" applyNumberFormat="1" applyFont="1" applyFill="1" applyBorder="1" applyAlignment="1">
      <alignment horizontal="center"/>
    </xf>
    <xf numFmtId="0" fontId="18" fillId="2" borderId="41" xfId="0" applyNumberFormat="1" applyFont="1" applyFill="1" applyBorder="1" applyAlignment="1">
      <alignment horizontal="center"/>
    </xf>
    <xf numFmtId="0" fontId="18" fillId="2" borderId="57" xfId="0" applyNumberFormat="1" applyFont="1" applyFill="1" applyBorder="1" applyAlignment="1">
      <alignment horizontal="center"/>
    </xf>
    <xf numFmtId="0" fontId="18" fillId="3" borderId="57" xfId="0" applyNumberFormat="1" applyFont="1" applyFill="1" applyBorder="1" applyAlignment="1">
      <alignment horizontal="center"/>
    </xf>
    <xf numFmtId="0" fontId="22" fillId="2" borderId="57" xfId="0" applyNumberFormat="1" applyFont="1" applyFill="1" applyBorder="1" applyAlignment="1">
      <alignment horizontal="center"/>
    </xf>
    <xf numFmtId="0" fontId="18" fillId="2" borderId="58" xfId="0" applyNumberFormat="1" applyFont="1" applyFill="1" applyBorder="1" applyAlignment="1">
      <alignment horizontal="center"/>
    </xf>
    <xf numFmtId="0" fontId="18" fillId="2" borderId="12" xfId="0" applyNumberFormat="1" applyFont="1" applyFill="1" applyBorder="1" applyAlignment="1">
      <alignment horizontal="center"/>
    </xf>
    <xf numFmtId="0" fontId="18" fillId="3" borderId="12" xfId="0" applyNumberFormat="1" applyFont="1" applyFill="1" applyBorder="1" applyAlignment="1">
      <alignment horizontal="center"/>
    </xf>
    <xf numFmtId="0" fontId="22" fillId="2" borderId="12" xfId="0" applyNumberFormat="1" applyFont="1" applyFill="1" applyBorder="1" applyAlignment="1">
      <alignment horizontal="center"/>
    </xf>
    <xf numFmtId="0" fontId="18" fillId="2" borderId="27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49" fontId="26" fillId="2" borderId="15" xfId="0" applyNumberFormat="1" applyFont="1" applyFill="1" applyBorder="1"/>
    <xf numFmtId="0" fontId="19" fillId="2" borderId="7" xfId="0" applyFont="1" applyFill="1" applyBorder="1" applyAlignment="1">
      <alignment horizontal="center"/>
    </xf>
    <xf numFmtId="49" fontId="19" fillId="2" borderId="15" xfId="0" applyNumberFormat="1" applyFont="1" applyFill="1" applyBorder="1"/>
    <xf numFmtId="49" fontId="19" fillId="2" borderId="1" xfId="0" applyNumberFormat="1" applyFont="1" applyFill="1" applyBorder="1"/>
    <xf numFmtId="0" fontId="19" fillId="2" borderId="0" xfId="0" applyFont="1" applyFill="1"/>
    <xf numFmtId="0" fontId="0" fillId="2" borderId="0" xfId="0" applyFont="1" applyFill="1"/>
    <xf numFmtId="0" fontId="18" fillId="2" borderId="0" xfId="0" applyFont="1" applyFill="1" applyBorder="1"/>
    <xf numFmtId="0" fontId="27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27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23" xfId="0" applyBorder="1"/>
    <xf numFmtId="0" fontId="0" fillId="0" borderId="1" xfId="0" applyBorder="1"/>
    <xf numFmtId="0" fontId="19" fillId="0" borderId="1" xfId="0" applyFont="1" applyFill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right"/>
    </xf>
    <xf numFmtId="0" fontId="18" fillId="0" borderId="0" xfId="0" applyFont="1" applyBorder="1" applyAlignment="1"/>
    <xf numFmtId="0" fontId="18" fillId="0" borderId="0" xfId="0" applyFont="1" applyAlignment="1"/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1" fillId="2" borderId="48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2" borderId="38" xfId="0" applyFont="1" applyFill="1" applyBorder="1"/>
    <xf numFmtId="0" fontId="18" fillId="2" borderId="33" xfId="0" applyFont="1" applyFill="1" applyBorder="1"/>
    <xf numFmtId="0" fontId="18" fillId="2" borderId="40" xfId="0" applyFont="1" applyFill="1" applyBorder="1"/>
    <xf numFmtId="0" fontId="18" fillId="2" borderId="34" xfId="0" applyFont="1" applyFill="1" applyBorder="1"/>
    <xf numFmtId="0" fontId="18" fillId="2" borderId="39" xfId="0" applyFont="1" applyFill="1" applyBorder="1"/>
    <xf numFmtId="0" fontId="18" fillId="2" borderId="36" xfId="0" applyFont="1" applyFill="1" applyBorder="1"/>
    <xf numFmtId="0" fontId="19" fillId="0" borderId="1" xfId="0" applyFont="1" applyBorder="1"/>
    <xf numFmtId="0" fontId="19" fillId="0" borderId="23" xfId="0" applyFont="1" applyFill="1" applyBorder="1" applyAlignment="1">
      <alignment horizontal="center"/>
    </xf>
    <xf numFmtId="0" fontId="19" fillId="0" borderId="30" xfId="0" applyFont="1" applyFill="1" applyBorder="1" applyAlignment="1">
      <alignment horizontal="center"/>
    </xf>
  </cellXfs>
  <cellStyles count="27">
    <cellStyle name="Денежный 2" xfId="7" xr:uid="{00000000-0005-0000-0000-000000000000}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6" xr:uid="{00000000-0005-0000-0000-000004000000}"/>
    <cellStyle name="Обычный 2 2 2 2" xfId="13" xr:uid="{00000000-0005-0000-0000-000005000000}"/>
    <cellStyle name="Обычный 2 2 2 2 2" xfId="25" xr:uid="{00000000-0005-0000-0000-000006000000}"/>
    <cellStyle name="Обычный 2 2 2 3" xfId="19" xr:uid="{00000000-0005-0000-0000-000007000000}"/>
    <cellStyle name="Обычный 2 2 3" xfId="10" xr:uid="{00000000-0005-0000-0000-000008000000}"/>
    <cellStyle name="Обычный 2 2 3 2" xfId="22" xr:uid="{00000000-0005-0000-0000-000009000000}"/>
    <cellStyle name="Обычный 2 2 4" xfId="16" xr:uid="{00000000-0005-0000-0000-00000A000000}"/>
    <cellStyle name="Обычный 2 3" xfId="4" xr:uid="{00000000-0005-0000-0000-00000B000000}"/>
    <cellStyle name="Обычный 2 3 2" xfId="11" xr:uid="{00000000-0005-0000-0000-00000C000000}"/>
    <cellStyle name="Обычный 2 3 2 2" xfId="23" xr:uid="{00000000-0005-0000-0000-00000D000000}"/>
    <cellStyle name="Обычный 2 3 3" xfId="17" xr:uid="{00000000-0005-0000-0000-00000E000000}"/>
    <cellStyle name="Обычный 2 4" xfId="8" xr:uid="{00000000-0005-0000-0000-00000F000000}"/>
    <cellStyle name="Обычный 2 4 2" xfId="20" xr:uid="{00000000-0005-0000-0000-000010000000}"/>
    <cellStyle name="Обычный 2 5" xfId="14" xr:uid="{00000000-0005-0000-0000-000011000000}"/>
    <cellStyle name="Обычный 3" xfId="2" xr:uid="{00000000-0005-0000-0000-000012000000}"/>
    <cellStyle name="Обычный 3 2" xfId="5" xr:uid="{00000000-0005-0000-0000-000013000000}"/>
    <cellStyle name="Обычный 3 2 2" xfId="12" xr:uid="{00000000-0005-0000-0000-000014000000}"/>
    <cellStyle name="Обычный 3 2 2 2" xfId="24" xr:uid="{00000000-0005-0000-0000-000015000000}"/>
    <cellStyle name="Обычный 3 2 3" xfId="18" xr:uid="{00000000-0005-0000-0000-000016000000}"/>
    <cellStyle name="Обычный 3 3" xfId="9" xr:uid="{00000000-0005-0000-0000-000017000000}"/>
    <cellStyle name="Обычный 3 3 2" xfId="21" xr:uid="{00000000-0005-0000-0000-000018000000}"/>
    <cellStyle name="Обычный 3 4" xfId="15" xr:uid="{00000000-0005-0000-0000-000019000000}"/>
    <cellStyle name="Финансовый 2" xfId="26" xr:uid="{00000000-0005-0000-0000-00001A000000}"/>
  </cellStyles>
  <dxfs count="0"/>
  <tableStyles count="0" defaultTableStyle="TableStyleMedium9" defaultPivotStyle="PivotStyleLight16"/>
  <colors>
    <mruColors>
      <color rgb="FFF67A7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30"/>
  <sheetViews>
    <sheetView zoomScale="77" zoomScaleNormal="77" workbookViewId="0">
      <pane ySplit="9" topLeftCell="A10" activePane="bottomLeft" state="frozen"/>
      <selection pane="bottomLeft" activeCell="X42" sqref="X42"/>
    </sheetView>
  </sheetViews>
  <sheetFormatPr defaultRowHeight="12.75" x14ac:dyDescent="0.2"/>
  <cols>
    <col min="1" max="1" width="5.42578125" style="24" customWidth="1"/>
    <col min="2" max="2" width="29.5703125" style="20" customWidth="1"/>
    <col min="3" max="8" width="3.28515625" customWidth="1"/>
    <col min="9" max="9" width="3.7109375" customWidth="1"/>
    <col min="10" max="13" width="3.28515625" customWidth="1"/>
    <col min="14" max="14" width="3.7109375" customWidth="1"/>
    <col min="15" max="15" width="4.28515625" customWidth="1"/>
    <col min="16" max="33" width="3.28515625" customWidth="1"/>
    <col min="34" max="34" width="6.28515625" customWidth="1"/>
    <col min="35" max="35" width="17" style="23" customWidth="1"/>
    <col min="36" max="36" width="8.140625" customWidth="1"/>
    <col min="37" max="37" width="8.5703125" customWidth="1"/>
  </cols>
  <sheetData>
    <row r="1" spans="1:39" ht="15.75" x14ac:dyDescent="0.25">
      <c r="B1" s="200" t="s">
        <v>4</v>
      </c>
      <c r="C1" s="200"/>
      <c r="D1" s="200"/>
      <c r="E1" s="20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95" t="s">
        <v>5</v>
      </c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21"/>
      <c r="AJ1" s="7"/>
    </row>
    <row r="2" spans="1:39" x14ac:dyDescent="0.2">
      <c r="B2" s="196" t="s">
        <v>0</v>
      </c>
      <c r="C2" s="196"/>
      <c r="D2" s="196"/>
      <c r="E2" s="19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96" t="s">
        <v>2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21"/>
      <c r="AJ2" s="7"/>
    </row>
    <row r="3" spans="1:39" x14ac:dyDescent="0.2"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21"/>
      <c r="AJ3" s="7"/>
    </row>
    <row r="4" spans="1:39" x14ac:dyDescent="0.2">
      <c r="B4" s="14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21"/>
      <c r="AJ4" s="7"/>
    </row>
    <row r="5" spans="1:39" ht="12.75" customHeight="1" x14ac:dyDescent="0.2">
      <c r="B5" s="201" t="s">
        <v>40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1"/>
      <c r="AJ5" s="7"/>
    </row>
    <row r="6" spans="1:39" ht="12.75" customHeight="1" x14ac:dyDescent="0.2"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1"/>
      <c r="AJ6" s="7"/>
    </row>
    <row r="7" spans="1:39" ht="12.75" customHeight="1" thickBot="1" x14ac:dyDescent="0.25">
      <c r="B7" s="14"/>
      <c r="C7" s="5"/>
      <c r="D7" s="5"/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21"/>
      <c r="AJ7" s="7"/>
    </row>
    <row r="8" spans="1:39" s="17" customFormat="1" x14ac:dyDescent="0.2">
      <c r="A8" s="190" t="s">
        <v>9</v>
      </c>
      <c r="B8" s="202" t="s">
        <v>1</v>
      </c>
      <c r="C8" s="123">
        <v>1</v>
      </c>
      <c r="D8" s="91">
        <v>2</v>
      </c>
      <c r="E8" s="91">
        <v>3</v>
      </c>
      <c r="F8" s="91">
        <v>4</v>
      </c>
      <c r="G8" s="91">
        <v>5</v>
      </c>
      <c r="H8" s="91">
        <v>6</v>
      </c>
      <c r="I8" s="91">
        <v>7</v>
      </c>
      <c r="J8" s="91">
        <v>8</v>
      </c>
      <c r="K8" s="91">
        <v>9</v>
      </c>
      <c r="L8" s="91">
        <v>10</v>
      </c>
      <c r="M8" s="91">
        <v>11</v>
      </c>
      <c r="N8" s="91">
        <v>12</v>
      </c>
      <c r="O8" s="91">
        <v>13</v>
      </c>
      <c r="P8" s="91">
        <v>14</v>
      </c>
      <c r="Q8" s="91">
        <v>15</v>
      </c>
      <c r="R8" s="91">
        <v>16</v>
      </c>
      <c r="S8" s="91">
        <v>17</v>
      </c>
      <c r="T8" s="91">
        <v>18</v>
      </c>
      <c r="U8" s="91">
        <v>19</v>
      </c>
      <c r="V8" s="91">
        <v>20</v>
      </c>
      <c r="W8" s="91">
        <v>21</v>
      </c>
      <c r="X8" s="91">
        <v>22</v>
      </c>
      <c r="Y8" s="91">
        <v>23</v>
      </c>
      <c r="Z8" s="91">
        <v>24</v>
      </c>
      <c r="AA8" s="91">
        <v>25</v>
      </c>
      <c r="AB8" s="91">
        <v>26</v>
      </c>
      <c r="AC8" s="91">
        <v>27</v>
      </c>
      <c r="AD8" s="91">
        <v>28</v>
      </c>
      <c r="AE8" s="91">
        <v>29</v>
      </c>
      <c r="AF8" s="91">
        <v>30</v>
      </c>
      <c r="AG8" s="124"/>
      <c r="AH8" s="188" t="s">
        <v>8</v>
      </c>
      <c r="AI8" s="187" t="s">
        <v>30</v>
      </c>
      <c r="AJ8" s="33"/>
      <c r="AK8" s="33"/>
      <c r="AL8" s="33"/>
      <c r="AM8" s="33"/>
    </row>
    <row r="9" spans="1:39" s="17" customFormat="1" ht="13.5" thickBot="1" x14ac:dyDescent="0.25">
      <c r="A9" s="191"/>
      <c r="B9" s="203"/>
      <c r="C9" s="197" t="s">
        <v>53</v>
      </c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9"/>
      <c r="AH9" s="189"/>
      <c r="AI9" s="187"/>
      <c r="AJ9" s="33"/>
      <c r="AK9" s="33"/>
      <c r="AL9" s="33"/>
      <c r="AM9" s="33"/>
    </row>
    <row r="10" spans="1:39" s="17" customFormat="1" ht="13.5" thickBot="1" x14ac:dyDescent="0.25">
      <c r="A10" s="42"/>
      <c r="B10" s="47" t="s">
        <v>27</v>
      </c>
      <c r="C10" s="129"/>
      <c r="D10" s="125"/>
      <c r="E10" s="125"/>
      <c r="F10" s="125"/>
      <c r="G10" s="125"/>
      <c r="H10" s="125"/>
      <c r="I10" s="133"/>
      <c r="J10" s="133"/>
      <c r="K10" s="125"/>
      <c r="L10" s="125"/>
      <c r="M10" s="125"/>
      <c r="N10" s="125"/>
      <c r="O10" s="125"/>
      <c r="P10" s="133"/>
      <c r="Q10" s="133"/>
      <c r="R10" s="125"/>
      <c r="S10" s="125"/>
      <c r="T10" s="125"/>
      <c r="U10" s="125"/>
      <c r="V10" s="125"/>
      <c r="W10" s="133"/>
      <c r="X10" s="133"/>
      <c r="Y10" s="125"/>
      <c r="Z10" s="125"/>
      <c r="AA10" s="125"/>
      <c r="AB10" s="125"/>
      <c r="AC10" s="125"/>
      <c r="AD10" s="133"/>
      <c r="AE10" s="133"/>
      <c r="AF10" s="125"/>
      <c r="AG10" s="126"/>
      <c r="AH10" s="59"/>
      <c r="AI10" s="63"/>
      <c r="AJ10" s="33"/>
      <c r="AK10" s="33"/>
      <c r="AL10" s="33"/>
      <c r="AM10" s="33"/>
    </row>
    <row r="11" spans="1:39" s="17" customFormat="1" x14ac:dyDescent="0.2">
      <c r="A11" s="43">
        <v>1</v>
      </c>
      <c r="B11" s="44" t="s">
        <v>11</v>
      </c>
      <c r="C11" s="130">
        <v>11</v>
      </c>
      <c r="D11" s="91">
        <v>11</v>
      </c>
      <c r="E11" s="91"/>
      <c r="F11" s="91"/>
      <c r="G11" s="91">
        <v>11</v>
      </c>
      <c r="H11" s="91">
        <v>10</v>
      </c>
      <c r="I11" s="31"/>
      <c r="J11" s="31"/>
      <c r="K11" s="91">
        <v>12</v>
      </c>
      <c r="L11" s="91">
        <v>11</v>
      </c>
      <c r="M11" s="91"/>
      <c r="N11" s="91"/>
      <c r="O11" s="91">
        <v>11</v>
      </c>
      <c r="P11" s="31">
        <v>11</v>
      </c>
      <c r="Q11" s="31"/>
      <c r="R11" s="91"/>
      <c r="S11" s="91">
        <v>12</v>
      </c>
      <c r="T11" s="91">
        <v>10</v>
      </c>
      <c r="U11" s="91"/>
      <c r="V11" s="91"/>
      <c r="W11" s="31">
        <v>10</v>
      </c>
      <c r="X11" s="31">
        <v>11</v>
      </c>
      <c r="Y11" s="91"/>
      <c r="Z11" s="91"/>
      <c r="AA11" s="91">
        <v>11</v>
      </c>
      <c r="AB11" s="91">
        <v>10</v>
      </c>
      <c r="AC11" s="91"/>
      <c r="AD11" s="31"/>
      <c r="AE11" s="31">
        <v>11</v>
      </c>
      <c r="AF11" s="91">
        <v>11</v>
      </c>
      <c r="AG11" s="92"/>
      <c r="AH11" s="60">
        <f>SUM(C11:AG11)</f>
        <v>174</v>
      </c>
      <c r="AI11" s="64" t="s">
        <v>24</v>
      </c>
      <c r="AJ11" s="33"/>
      <c r="AK11" s="33"/>
      <c r="AL11" s="33"/>
      <c r="AM11" s="33"/>
    </row>
    <row r="12" spans="1:39" s="17" customFormat="1" x14ac:dyDescent="0.2">
      <c r="A12" s="30">
        <v>2</v>
      </c>
      <c r="B12" s="28" t="s">
        <v>12</v>
      </c>
      <c r="C12" s="29"/>
      <c r="D12" s="106">
        <v>8</v>
      </c>
      <c r="E12" s="106">
        <v>9</v>
      </c>
      <c r="F12" s="134" t="s">
        <v>46</v>
      </c>
      <c r="G12" s="106" t="s">
        <v>49</v>
      </c>
      <c r="H12" s="106"/>
      <c r="I12" s="27"/>
      <c r="J12" s="27"/>
      <c r="K12" s="106"/>
      <c r="L12" s="106"/>
      <c r="M12" s="106"/>
      <c r="N12" s="106">
        <v>10</v>
      </c>
      <c r="O12" s="106">
        <v>10</v>
      </c>
      <c r="P12" s="27">
        <v>9</v>
      </c>
      <c r="Q12" s="27">
        <v>9</v>
      </c>
      <c r="R12" s="106">
        <v>9</v>
      </c>
      <c r="S12" s="106">
        <v>8</v>
      </c>
      <c r="T12" s="106">
        <v>3</v>
      </c>
      <c r="U12" s="134"/>
      <c r="V12" s="106">
        <v>9</v>
      </c>
      <c r="W12" s="27">
        <v>8</v>
      </c>
      <c r="X12" s="27"/>
      <c r="Y12" s="106">
        <v>8</v>
      </c>
      <c r="Z12" s="106">
        <v>9</v>
      </c>
      <c r="AA12" s="106">
        <v>7</v>
      </c>
      <c r="AB12" s="106">
        <v>11</v>
      </c>
      <c r="AC12" s="106">
        <v>8</v>
      </c>
      <c r="AD12" s="27">
        <v>7</v>
      </c>
      <c r="AE12" s="27"/>
      <c r="AF12" s="106">
        <v>8</v>
      </c>
      <c r="AG12" s="107"/>
      <c r="AH12" s="61">
        <f t="shared" ref="AH12:AH27" si="0">SUM(C12:AG12)</f>
        <v>150</v>
      </c>
      <c r="AI12" s="64" t="s">
        <v>25</v>
      </c>
      <c r="AJ12" s="33"/>
      <c r="AK12" s="33"/>
      <c r="AL12" s="33"/>
      <c r="AM12" s="33"/>
    </row>
    <row r="13" spans="1:39" s="17" customFormat="1" ht="13.5" customHeight="1" x14ac:dyDescent="0.2">
      <c r="A13" s="30">
        <v>3</v>
      </c>
      <c r="B13" s="28" t="s">
        <v>13</v>
      </c>
      <c r="C13" s="29">
        <v>14</v>
      </c>
      <c r="D13" s="106">
        <v>10</v>
      </c>
      <c r="E13" s="106">
        <v>10</v>
      </c>
      <c r="F13" s="106">
        <v>15</v>
      </c>
      <c r="G13" s="106">
        <v>10</v>
      </c>
      <c r="H13" s="106">
        <v>10</v>
      </c>
      <c r="I13" s="27">
        <v>10</v>
      </c>
      <c r="J13" s="27">
        <v>10</v>
      </c>
      <c r="K13" s="106">
        <v>10</v>
      </c>
      <c r="L13" s="106">
        <v>14</v>
      </c>
      <c r="M13" s="106" t="s">
        <v>49</v>
      </c>
      <c r="N13" s="106"/>
      <c r="O13" s="106"/>
      <c r="P13" s="27"/>
      <c r="Q13" s="27"/>
      <c r="R13" s="106"/>
      <c r="S13" s="106"/>
      <c r="T13" s="106"/>
      <c r="U13" s="106"/>
      <c r="V13" s="106">
        <v>10</v>
      </c>
      <c r="W13" s="27">
        <v>15</v>
      </c>
      <c r="X13" s="27">
        <v>15</v>
      </c>
      <c r="Y13" s="106">
        <v>15</v>
      </c>
      <c r="Z13" s="106">
        <v>10</v>
      </c>
      <c r="AA13" s="106">
        <v>13</v>
      </c>
      <c r="AB13" s="106">
        <v>10</v>
      </c>
      <c r="AC13" s="106">
        <v>10</v>
      </c>
      <c r="AD13" s="27">
        <v>10</v>
      </c>
      <c r="AE13" s="27">
        <v>10</v>
      </c>
      <c r="AF13" s="106">
        <v>12</v>
      </c>
      <c r="AG13" s="107"/>
      <c r="AH13" s="61">
        <f t="shared" si="0"/>
        <v>243</v>
      </c>
      <c r="AI13" s="64" t="s">
        <v>24</v>
      </c>
      <c r="AJ13" s="33"/>
      <c r="AK13" s="33"/>
      <c r="AL13" s="33"/>
      <c r="AM13" s="33"/>
    </row>
    <row r="14" spans="1:39" s="17" customFormat="1" x14ac:dyDescent="0.2">
      <c r="A14" s="30">
        <v>4</v>
      </c>
      <c r="B14" s="172" t="s">
        <v>14</v>
      </c>
      <c r="C14" s="29" t="s">
        <v>47</v>
      </c>
      <c r="D14" s="106" t="s">
        <v>47</v>
      </c>
      <c r="E14" s="106" t="s">
        <v>47</v>
      </c>
      <c r="F14" s="106" t="s">
        <v>47</v>
      </c>
      <c r="G14" s="106" t="s">
        <v>47</v>
      </c>
      <c r="H14" s="106">
        <v>10</v>
      </c>
      <c r="I14" s="27">
        <v>10</v>
      </c>
      <c r="J14" s="27">
        <v>10</v>
      </c>
      <c r="K14" s="106">
        <v>12</v>
      </c>
      <c r="L14" s="106">
        <v>15</v>
      </c>
      <c r="M14" s="106"/>
      <c r="N14" s="106"/>
      <c r="O14" s="106">
        <v>11</v>
      </c>
      <c r="P14" s="27">
        <v>12</v>
      </c>
      <c r="Q14" s="27">
        <v>10</v>
      </c>
      <c r="R14" s="106">
        <v>13</v>
      </c>
      <c r="S14" s="106">
        <v>10</v>
      </c>
      <c r="T14" s="106">
        <v>10</v>
      </c>
      <c r="U14" s="106">
        <v>24</v>
      </c>
      <c r="V14" s="106">
        <v>6</v>
      </c>
      <c r="W14" s="27">
        <v>12</v>
      </c>
      <c r="X14" s="27">
        <v>12</v>
      </c>
      <c r="Y14" s="106">
        <v>12</v>
      </c>
      <c r="Z14" s="106">
        <v>12</v>
      </c>
      <c r="AA14" s="106">
        <v>12</v>
      </c>
      <c r="AB14" s="106">
        <v>12</v>
      </c>
      <c r="AC14" s="106">
        <v>10</v>
      </c>
      <c r="AD14" s="27">
        <v>10</v>
      </c>
      <c r="AE14" s="134">
        <v>4</v>
      </c>
      <c r="AF14" s="106">
        <v>14</v>
      </c>
      <c r="AG14" s="107"/>
      <c r="AH14" s="61">
        <f t="shared" si="0"/>
        <v>263</v>
      </c>
      <c r="AI14" s="64" t="s">
        <v>24</v>
      </c>
      <c r="AJ14" s="33"/>
      <c r="AK14" s="33"/>
      <c r="AL14" s="33"/>
      <c r="AM14" s="33"/>
    </row>
    <row r="15" spans="1:39" s="177" customFormat="1" x14ac:dyDescent="0.2">
      <c r="A15" s="173">
        <v>5</v>
      </c>
      <c r="B15" s="174" t="s">
        <v>15</v>
      </c>
      <c r="C15" s="29"/>
      <c r="D15" s="106">
        <v>10</v>
      </c>
      <c r="E15" s="106">
        <v>11</v>
      </c>
      <c r="F15" s="106">
        <v>10</v>
      </c>
      <c r="G15" s="106">
        <v>10</v>
      </c>
      <c r="H15" s="106">
        <v>10</v>
      </c>
      <c r="I15" s="27">
        <v>10</v>
      </c>
      <c r="J15" s="27"/>
      <c r="K15" s="106">
        <v>10</v>
      </c>
      <c r="L15" s="106">
        <v>10</v>
      </c>
      <c r="M15" s="106"/>
      <c r="N15" s="106">
        <v>11</v>
      </c>
      <c r="O15" s="106">
        <v>10</v>
      </c>
      <c r="P15" s="27">
        <v>10</v>
      </c>
      <c r="Q15" s="27">
        <v>10</v>
      </c>
      <c r="R15" s="106">
        <v>10</v>
      </c>
      <c r="S15" s="106">
        <v>10</v>
      </c>
      <c r="T15" s="106">
        <v>10</v>
      </c>
      <c r="U15" s="106">
        <v>24</v>
      </c>
      <c r="V15" s="106">
        <v>13</v>
      </c>
      <c r="W15" s="27"/>
      <c r="X15" s="27"/>
      <c r="Y15" s="106">
        <v>10</v>
      </c>
      <c r="Z15" s="106">
        <v>11</v>
      </c>
      <c r="AA15" s="106">
        <v>11</v>
      </c>
      <c r="AB15" s="106">
        <v>11</v>
      </c>
      <c r="AC15" s="106">
        <v>10</v>
      </c>
      <c r="AD15" s="27">
        <v>10</v>
      </c>
      <c r="AE15" s="27"/>
      <c r="AF15" s="106">
        <v>12</v>
      </c>
      <c r="AG15" s="107"/>
      <c r="AH15" s="102">
        <f t="shared" si="0"/>
        <v>264</v>
      </c>
      <c r="AI15" s="175" t="s">
        <v>26</v>
      </c>
      <c r="AJ15" s="176"/>
      <c r="AK15" s="176"/>
      <c r="AL15" s="176"/>
      <c r="AM15" s="176"/>
    </row>
    <row r="16" spans="1:39" s="177" customFormat="1" x14ac:dyDescent="0.2">
      <c r="A16" s="173">
        <v>6</v>
      </c>
      <c r="B16" s="174" t="s">
        <v>16</v>
      </c>
      <c r="C16" s="29"/>
      <c r="D16" s="106">
        <v>10</v>
      </c>
      <c r="E16" s="106">
        <v>10</v>
      </c>
      <c r="F16" s="106">
        <v>10</v>
      </c>
      <c r="G16" s="106">
        <v>13</v>
      </c>
      <c r="H16" s="106">
        <v>10</v>
      </c>
      <c r="I16" s="27">
        <v>10</v>
      </c>
      <c r="J16" s="27"/>
      <c r="K16" s="106"/>
      <c r="L16" s="106">
        <v>10</v>
      </c>
      <c r="M16" s="106"/>
      <c r="N16" s="106">
        <v>13</v>
      </c>
      <c r="O16" s="106">
        <v>10</v>
      </c>
      <c r="P16" s="27">
        <v>10</v>
      </c>
      <c r="Q16" s="27"/>
      <c r="R16" s="106">
        <v>13</v>
      </c>
      <c r="S16" s="106">
        <v>8</v>
      </c>
      <c r="T16" s="106"/>
      <c r="U16" s="106">
        <v>8</v>
      </c>
      <c r="V16" s="106">
        <v>8</v>
      </c>
      <c r="W16" s="27">
        <v>15</v>
      </c>
      <c r="X16" s="27">
        <v>12</v>
      </c>
      <c r="Y16" s="106">
        <v>12</v>
      </c>
      <c r="Z16" s="106">
        <v>12</v>
      </c>
      <c r="AA16" s="106">
        <v>10</v>
      </c>
      <c r="AB16" s="106">
        <v>10</v>
      </c>
      <c r="AC16" s="106">
        <v>10</v>
      </c>
      <c r="AD16" s="27">
        <v>10</v>
      </c>
      <c r="AE16" s="27">
        <v>10</v>
      </c>
      <c r="AF16" s="106">
        <v>10</v>
      </c>
      <c r="AG16" s="107"/>
      <c r="AH16" s="102">
        <f t="shared" si="0"/>
        <v>254</v>
      </c>
      <c r="AI16" s="175" t="s">
        <v>24</v>
      </c>
      <c r="AJ16" s="176"/>
      <c r="AK16" s="176"/>
      <c r="AL16" s="176"/>
      <c r="AM16" s="176"/>
    </row>
    <row r="17" spans="1:39" s="177" customFormat="1" x14ac:dyDescent="0.2">
      <c r="A17" s="173">
        <v>7</v>
      </c>
      <c r="B17" s="174" t="s">
        <v>55</v>
      </c>
      <c r="C17" s="29"/>
      <c r="D17" s="106"/>
      <c r="E17" s="106"/>
      <c r="F17" s="106"/>
      <c r="G17" s="106"/>
      <c r="H17" s="106"/>
      <c r="I17" s="27"/>
      <c r="J17" s="27"/>
      <c r="K17" s="106"/>
      <c r="L17" s="106"/>
      <c r="M17" s="106"/>
      <c r="N17" s="106"/>
      <c r="O17" s="106"/>
      <c r="P17" s="27"/>
      <c r="Q17" s="27"/>
      <c r="R17" s="106"/>
      <c r="S17" s="106"/>
      <c r="T17" s="106"/>
      <c r="U17" s="106">
        <v>10</v>
      </c>
      <c r="V17" s="106">
        <v>10</v>
      </c>
      <c r="W17" s="27">
        <v>10</v>
      </c>
      <c r="X17" s="27"/>
      <c r="Y17" s="106"/>
      <c r="Z17" s="106"/>
      <c r="AA17" s="106"/>
      <c r="AB17" s="106"/>
      <c r="AC17" s="106"/>
      <c r="AD17" s="27"/>
      <c r="AE17" s="27"/>
      <c r="AF17" s="106"/>
      <c r="AG17" s="107"/>
      <c r="AH17" s="102">
        <f t="shared" ref="AH17" si="1">SUM(C17:AG17)</f>
        <v>30</v>
      </c>
      <c r="AI17" s="175" t="s">
        <v>25</v>
      </c>
      <c r="AJ17" s="176"/>
      <c r="AK17" s="176"/>
      <c r="AL17" s="176"/>
      <c r="AM17" s="176"/>
    </row>
    <row r="18" spans="1:39" s="177" customFormat="1" x14ac:dyDescent="0.2">
      <c r="A18" s="173"/>
      <c r="B18" s="174" t="s">
        <v>52</v>
      </c>
      <c r="C18" s="29"/>
      <c r="D18" s="106"/>
      <c r="E18" s="106"/>
      <c r="F18" s="106"/>
      <c r="G18" s="106"/>
      <c r="H18" s="106"/>
      <c r="I18" s="27"/>
      <c r="J18" s="27"/>
      <c r="K18" s="106"/>
      <c r="L18" s="106"/>
      <c r="M18" s="106"/>
      <c r="N18" s="106"/>
      <c r="O18" s="106"/>
      <c r="P18" s="27"/>
      <c r="Q18" s="27"/>
      <c r="R18" s="106"/>
      <c r="S18" s="106"/>
      <c r="T18" s="106"/>
      <c r="U18" s="106"/>
      <c r="V18" s="106"/>
      <c r="W18" s="27">
        <v>10</v>
      </c>
      <c r="X18" s="27">
        <v>10</v>
      </c>
      <c r="Y18" s="106">
        <v>11</v>
      </c>
      <c r="Z18" s="106">
        <v>11</v>
      </c>
      <c r="AA18" s="106">
        <v>15</v>
      </c>
      <c r="AB18" s="106">
        <v>10</v>
      </c>
      <c r="AC18" s="106">
        <v>11</v>
      </c>
      <c r="AD18" s="27">
        <v>9</v>
      </c>
      <c r="AE18" s="27"/>
      <c r="AF18" s="106">
        <v>14</v>
      </c>
      <c r="AG18" s="107"/>
      <c r="AH18" s="102">
        <f t="shared" ref="AH18" si="2">SUM(C18:AG18)</f>
        <v>101</v>
      </c>
      <c r="AI18" s="175" t="s">
        <v>25</v>
      </c>
      <c r="AJ18" s="176"/>
      <c r="AK18" s="176"/>
      <c r="AL18" s="176"/>
      <c r="AM18" s="176"/>
    </row>
    <row r="19" spans="1:39" s="17" customFormat="1" x14ac:dyDescent="0.2">
      <c r="A19" s="30">
        <v>7</v>
      </c>
      <c r="B19" s="28" t="s">
        <v>17</v>
      </c>
      <c r="C19" s="29">
        <v>9</v>
      </c>
      <c r="D19" s="106">
        <v>9</v>
      </c>
      <c r="E19" s="106">
        <v>8</v>
      </c>
      <c r="F19" s="106">
        <v>8</v>
      </c>
      <c r="G19" s="106">
        <v>8</v>
      </c>
      <c r="H19" s="106">
        <v>8</v>
      </c>
      <c r="I19" s="171"/>
      <c r="J19" s="27">
        <v>8</v>
      </c>
      <c r="K19" s="106">
        <v>10</v>
      </c>
      <c r="L19" s="106">
        <v>12</v>
      </c>
      <c r="M19" s="106"/>
      <c r="N19" s="134" t="s">
        <v>50</v>
      </c>
      <c r="O19" s="106">
        <v>8</v>
      </c>
      <c r="P19" s="27">
        <v>10</v>
      </c>
      <c r="Q19" s="27"/>
      <c r="R19" s="106">
        <v>12</v>
      </c>
      <c r="S19" s="106">
        <v>9</v>
      </c>
      <c r="T19" s="106">
        <v>10</v>
      </c>
      <c r="U19" s="134"/>
      <c r="V19" s="106"/>
      <c r="W19" s="27"/>
      <c r="X19" s="27"/>
      <c r="Y19" s="106"/>
      <c r="Z19" s="106"/>
      <c r="AA19" s="106">
        <v>5</v>
      </c>
      <c r="AB19" s="106"/>
      <c r="AC19" s="106">
        <v>5</v>
      </c>
      <c r="AD19" s="27"/>
      <c r="AE19" s="27"/>
      <c r="AF19" s="106">
        <v>5</v>
      </c>
      <c r="AG19" s="107"/>
      <c r="AH19" s="61">
        <f t="shared" si="0"/>
        <v>144</v>
      </c>
      <c r="AI19" s="64" t="s">
        <v>25</v>
      </c>
      <c r="AJ19" s="33"/>
      <c r="AK19" s="33"/>
      <c r="AL19" s="33"/>
      <c r="AM19" s="33"/>
    </row>
    <row r="20" spans="1:39" s="177" customFormat="1" x14ac:dyDescent="0.2">
      <c r="A20" s="173">
        <v>8</v>
      </c>
      <c r="B20" s="174" t="s">
        <v>18</v>
      </c>
      <c r="C20" s="29">
        <v>10</v>
      </c>
      <c r="D20" s="106">
        <v>10</v>
      </c>
      <c r="E20" s="127">
        <v>10</v>
      </c>
      <c r="F20" s="106">
        <v>10</v>
      </c>
      <c r="G20" s="127">
        <v>10</v>
      </c>
      <c r="H20" s="106">
        <v>10</v>
      </c>
      <c r="I20" s="29">
        <v>10</v>
      </c>
      <c r="J20" s="27">
        <v>10</v>
      </c>
      <c r="K20" s="127">
        <v>10</v>
      </c>
      <c r="L20" s="106">
        <v>13</v>
      </c>
      <c r="M20" s="127"/>
      <c r="N20" s="106">
        <v>13</v>
      </c>
      <c r="O20" s="127">
        <v>11</v>
      </c>
      <c r="P20" s="27">
        <v>12</v>
      </c>
      <c r="Q20" s="29">
        <v>10</v>
      </c>
      <c r="R20" s="106">
        <v>13</v>
      </c>
      <c r="S20" s="127">
        <v>10</v>
      </c>
      <c r="T20" s="106">
        <v>10</v>
      </c>
      <c r="U20" s="127">
        <v>13</v>
      </c>
      <c r="V20" s="106">
        <v>13</v>
      </c>
      <c r="W20" s="27">
        <v>15</v>
      </c>
      <c r="X20" s="27">
        <v>10</v>
      </c>
      <c r="Y20" s="106">
        <v>15</v>
      </c>
      <c r="Z20" s="106">
        <v>13</v>
      </c>
      <c r="AA20" s="106">
        <v>15</v>
      </c>
      <c r="AB20" s="106">
        <v>16</v>
      </c>
      <c r="AC20" s="106">
        <v>10</v>
      </c>
      <c r="AD20" s="27">
        <v>12</v>
      </c>
      <c r="AE20" s="27">
        <v>12</v>
      </c>
      <c r="AF20" s="106">
        <v>14</v>
      </c>
      <c r="AG20" s="107"/>
      <c r="AH20" s="102">
        <f t="shared" si="0"/>
        <v>340</v>
      </c>
      <c r="AI20" s="175" t="s">
        <v>25</v>
      </c>
      <c r="AJ20" s="176"/>
      <c r="AK20" s="176"/>
      <c r="AL20" s="176"/>
      <c r="AM20" s="176"/>
    </row>
    <row r="21" spans="1:39" s="17" customFormat="1" x14ac:dyDescent="0.2">
      <c r="A21" s="30">
        <v>9</v>
      </c>
      <c r="B21" s="28" t="s">
        <v>28</v>
      </c>
      <c r="C21" s="29"/>
      <c r="D21" s="106"/>
      <c r="E21" s="127"/>
      <c r="F21" s="106"/>
      <c r="G21" s="127"/>
      <c r="H21" s="106"/>
      <c r="I21" s="29"/>
      <c r="J21" s="27"/>
      <c r="K21" s="127"/>
      <c r="L21" s="106"/>
      <c r="M21" s="127"/>
      <c r="N21" s="106"/>
      <c r="O21" s="127"/>
      <c r="P21" s="27"/>
      <c r="Q21" s="29"/>
      <c r="R21" s="106"/>
      <c r="S21" s="127"/>
      <c r="T21" s="106"/>
      <c r="U21" s="127"/>
      <c r="V21" s="106"/>
      <c r="W21" s="27"/>
      <c r="X21" s="27"/>
      <c r="Y21" s="106"/>
      <c r="Z21" s="106"/>
      <c r="AA21" s="106"/>
      <c r="AB21" s="106"/>
      <c r="AC21" s="106"/>
      <c r="AD21" s="27"/>
      <c r="AE21" s="27"/>
      <c r="AF21" s="106"/>
      <c r="AG21" s="107"/>
      <c r="AH21" s="61">
        <f t="shared" si="0"/>
        <v>0</v>
      </c>
      <c r="AI21" s="64" t="s">
        <v>24</v>
      </c>
      <c r="AJ21" s="33"/>
      <c r="AK21" s="33"/>
      <c r="AL21" s="33"/>
      <c r="AM21" s="33"/>
    </row>
    <row r="22" spans="1:39" s="17" customFormat="1" x14ac:dyDescent="0.2">
      <c r="A22" s="30">
        <v>10</v>
      </c>
      <c r="B22" s="28" t="s">
        <v>19</v>
      </c>
      <c r="C22" s="29">
        <v>12</v>
      </c>
      <c r="D22" s="106">
        <v>11</v>
      </c>
      <c r="E22" s="127">
        <v>3</v>
      </c>
      <c r="F22" s="106">
        <v>11</v>
      </c>
      <c r="G22" s="127">
        <v>15</v>
      </c>
      <c r="H22" s="106">
        <v>11</v>
      </c>
      <c r="I22" s="29">
        <v>11</v>
      </c>
      <c r="J22" s="27"/>
      <c r="K22" s="136">
        <v>11</v>
      </c>
      <c r="L22" s="127">
        <v>14</v>
      </c>
      <c r="M22" s="127">
        <v>5</v>
      </c>
      <c r="N22" s="106">
        <v>11</v>
      </c>
      <c r="O22" s="127">
        <v>11</v>
      </c>
      <c r="P22" s="27">
        <v>11</v>
      </c>
      <c r="Q22" s="29">
        <v>11</v>
      </c>
      <c r="R22" s="106"/>
      <c r="S22" s="127">
        <v>10</v>
      </c>
      <c r="T22" s="106">
        <v>10</v>
      </c>
      <c r="U22" s="127"/>
      <c r="V22" s="106"/>
      <c r="W22" s="27">
        <v>10</v>
      </c>
      <c r="X22" s="27">
        <v>10</v>
      </c>
      <c r="Y22" s="106"/>
      <c r="Z22" s="106"/>
      <c r="AA22" s="106">
        <v>10</v>
      </c>
      <c r="AB22" s="106">
        <v>10</v>
      </c>
      <c r="AC22" s="106"/>
      <c r="AD22" s="27"/>
      <c r="AE22" s="27"/>
      <c r="AF22" s="106"/>
      <c r="AG22" s="107"/>
      <c r="AH22" s="61">
        <f t="shared" si="0"/>
        <v>208</v>
      </c>
      <c r="AI22" s="64" t="s">
        <v>26</v>
      </c>
      <c r="AJ22" s="33"/>
      <c r="AK22" s="33"/>
      <c r="AL22" s="33"/>
      <c r="AM22" s="33"/>
    </row>
    <row r="23" spans="1:39" s="177" customFormat="1" x14ac:dyDescent="0.2">
      <c r="A23" s="173">
        <v>11</v>
      </c>
      <c r="B23" s="174" t="s">
        <v>43</v>
      </c>
      <c r="C23" s="29"/>
      <c r="D23" s="106"/>
      <c r="E23" s="127">
        <v>10</v>
      </c>
      <c r="F23" s="106">
        <v>10</v>
      </c>
      <c r="G23" s="127">
        <v>10</v>
      </c>
      <c r="H23" s="106"/>
      <c r="I23" s="29"/>
      <c r="J23" s="27">
        <v>10</v>
      </c>
      <c r="K23" s="127">
        <v>10</v>
      </c>
      <c r="L23" s="106"/>
      <c r="M23" s="127"/>
      <c r="N23" s="106">
        <v>13</v>
      </c>
      <c r="O23" s="127">
        <v>11</v>
      </c>
      <c r="P23" s="27">
        <v>11</v>
      </c>
      <c r="Q23" s="29">
        <v>13</v>
      </c>
      <c r="R23" s="106">
        <v>10</v>
      </c>
      <c r="S23" s="127">
        <v>10</v>
      </c>
      <c r="T23" s="106">
        <v>10</v>
      </c>
      <c r="U23" s="127">
        <v>10</v>
      </c>
      <c r="V23" s="106">
        <v>13</v>
      </c>
      <c r="W23" s="27">
        <v>14</v>
      </c>
      <c r="X23" s="27">
        <v>15</v>
      </c>
      <c r="Y23" s="106">
        <v>15</v>
      </c>
      <c r="Z23" s="106">
        <v>15</v>
      </c>
      <c r="AA23" s="106">
        <v>15</v>
      </c>
      <c r="AB23" s="106">
        <v>16</v>
      </c>
      <c r="AC23" s="106">
        <v>12</v>
      </c>
      <c r="AD23" s="27">
        <v>13</v>
      </c>
      <c r="AE23" s="27">
        <v>12</v>
      </c>
      <c r="AF23" s="106">
        <v>15</v>
      </c>
      <c r="AG23" s="107"/>
      <c r="AH23" s="102">
        <f t="shared" si="0"/>
        <v>293</v>
      </c>
      <c r="AI23" s="175" t="s">
        <v>24</v>
      </c>
      <c r="AJ23" s="176"/>
      <c r="AK23" s="176"/>
      <c r="AL23" s="176"/>
      <c r="AM23" s="176"/>
    </row>
    <row r="24" spans="1:39" s="177" customFormat="1" x14ac:dyDescent="0.2">
      <c r="A24" s="173">
        <v>12</v>
      </c>
      <c r="B24" s="174" t="s">
        <v>20</v>
      </c>
      <c r="C24" s="29">
        <v>10</v>
      </c>
      <c r="D24" s="106">
        <v>10</v>
      </c>
      <c r="E24" s="127">
        <v>9</v>
      </c>
      <c r="F24" s="106">
        <v>10</v>
      </c>
      <c r="G24" s="127">
        <v>10</v>
      </c>
      <c r="H24" s="106">
        <v>10</v>
      </c>
      <c r="I24" s="29">
        <v>10</v>
      </c>
      <c r="J24" s="27"/>
      <c r="K24" s="127">
        <v>10</v>
      </c>
      <c r="L24" s="106">
        <v>11</v>
      </c>
      <c r="M24" s="127"/>
      <c r="N24" s="106">
        <v>12</v>
      </c>
      <c r="O24" s="127">
        <v>10</v>
      </c>
      <c r="P24" s="27">
        <v>10</v>
      </c>
      <c r="Q24" s="29">
        <v>10</v>
      </c>
      <c r="R24" s="106">
        <v>10</v>
      </c>
      <c r="S24" s="127"/>
      <c r="T24" s="106"/>
      <c r="U24" s="127"/>
      <c r="V24" s="106"/>
      <c r="W24" s="27"/>
      <c r="X24" s="27"/>
      <c r="Y24" s="106"/>
      <c r="Z24" s="106">
        <v>9</v>
      </c>
      <c r="AA24" s="106">
        <v>10</v>
      </c>
      <c r="AB24" s="106">
        <v>10</v>
      </c>
      <c r="AC24" s="106">
        <v>11</v>
      </c>
      <c r="AD24" s="27">
        <v>10</v>
      </c>
      <c r="AE24" s="134">
        <v>4</v>
      </c>
      <c r="AF24" s="106">
        <v>10</v>
      </c>
      <c r="AG24" s="107"/>
      <c r="AH24" s="102">
        <f>SUM(C24:AG24)</f>
        <v>206</v>
      </c>
      <c r="AI24" s="175" t="s">
        <v>24</v>
      </c>
      <c r="AJ24" s="176"/>
      <c r="AK24" s="176"/>
      <c r="AL24" s="176"/>
      <c r="AM24" s="176"/>
    </row>
    <row r="25" spans="1:39" s="177" customFormat="1" x14ac:dyDescent="0.2">
      <c r="A25" s="173">
        <v>13</v>
      </c>
      <c r="B25" s="174" t="s">
        <v>22</v>
      </c>
      <c r="C25" s="29"/>
      <c r="D25" s="106"/>
      <c r="E25" s="106">
        <v>10</v>
      </c>
      <c r="F25" s="106">
        <v>10</v>
      </c>
      <c r="G25" s="106"/>
      <c r="H25" s="106"/>
      <c r="I25" s="27">
        <v>10</v>
      </c>
      <c r="J25" s="27">
        <v>10</v>
      </c>
      <c r="K25" s="106"/>
      <c r="L25" s="106"/>
      <c r="M25" s="106"/>
      <c r="N25" s="106">
        <v>11</v>
      </c>
      <c r="O25" s="106"/>
      <c r="P25" s="27"/>
      <c r="Q25" s="27">
        <v>10</v>
      </c>
      <c r="R25" s="106">
        <v>10</v>
      </c>
      <c r="S25" s="106"/>
      <c r="T25" s="106"/>
      <c r="U25" s="106">
        <v>10</v>
      </c>
      <c r="V25" s="106">
        <v>10</v>
      </c>
      <c r="W25" s="27"/>
      <c r="X25" s="27"/>
      <c r="Y25" s="106">
        <v>10</v>
      </c>
      <c r="Z25" s="106">
        <v>11</v>
      </c>
      <c r="AA25" s="106"/>
      <c r="AB25" s="106"/>
      <c r="AC25" s="106">
        <v>10</v>
      </c>
      <c r="AD25" s="27">
        <v>10</v>
      </c>
      <c r="AE25" s="27"/>
      <c r="AF25" s="106"/>
      <c r="AG25" s="107"/>
      <c r="AH25" s="102">
        <f t="shared" si="0"/>
        <v>132</v>
      </c>
      <c r="AI25" s="175" t="s">
        <v>24</v>
      </c>
      <c r="AJ25" s="176"/>
      <c r="AK25" s="176"/>
      <c r="AL25" s="176"/>
      <c r="AM25" s="176"/>
    </row>
    <row r="26" spans="1:39" s="16" customFormat="1" ht="13.5" thickBot="1" x14ac:dyDescent="0.25">
      <c r="A26" s="45">
        <v>14</v>
      </c>
      <c r="B26" s="46" t="s">
        <v>38</v>
      </c>
      <c r="C26" s="131"/>
      <c r="D26" s="113">
        <v>5</v>
      </c>
      <c r="E26" s="113">
        <v>5</v>
      </c>
      <c r="F26" s="113">
        <v>5</v>
      </c>
      <c r="G26" s="113"/>
      <c r="H26" s="113"/>
      <c r="I26" s="50"/>
      <c r="J26" s="50"/>
      <c r="K26" s="113"/>
      <c r="L26" s="113"/>
      <c r="M26" s="113"/>
      <c r="N26" s="113"/>
      <c r="O26" s="113"/>
      <c r="P26" s="50"/>
      <c r="Q26" s="50"/>
      <c r="R26" s="113"/>
      <c r="S26" s="113"/>
      <c r="T26" s="113"/>
      <c r="U26" s="113"/>
      <c r="V26" s="113"/>
      <c r="W26" s="50"/>
      <c r="X26" s="50"/>
      <c r="Y26" s="113"/>
      <c r="Z26" s="113"/>
      <c r="AA26" s="113"/>
      <c r="AB26" s="113"/>
      <c r="AC26" s="113"/>
      <c r="AD26" s="50"/>
      <c r="AE26" s="50"/>
      <c r="AF26" s="113"/>
      <c r="AG26" s="114"/>
      <c r="AH26" s="62">
        <f>SUM(C26:AG26)</f>
        <v>15</v>
      </c>
      <c r="AI26" s="64" t="s">
        <v>24</v>
      </c>
      <c r="AJ26" s="33"/>
      <c r="AK26" s="33"/>
      <c r="AL26" s="33"/>
      <c r="AM26" s="33"/>
    </row>
    <row r="27" spans="1:39" s="13" customFormat="1" ht="13.5" thickBot="1" x14ac:dyDescent="0.25">
      <c r="A27" s="45">
        <v>15</v>
      </c>
      <c r="B27" s="46" t="s">
        <v>23</v>
      </c>
      <c r="C27" s="131"/>
      <c r="D27" s="113"/>
      <c r="E27" s="113">
        <v>11</v>
      </c>
      <c r="F27" s="113">
        <v>11</v>
      </c>
      <c r="G27" s="113"/>
      <c r="H27" s="113"/>
      <c r="I27" s="50">
        <v>11</v>
      </c>
      <c r="J27" s="50">
        <v>11</v>
      </c>
      <c r="K27" s="113"/>
      <c r="L27" s="113"/>
      <c r="M27" s="113"/>
      <c r="N27" s="113">
        <v>10</v>
      </c>
      <c r="O27" s="113"/>
      <c r="P27" s="50"/>
      <c r="Q27" s="50">
        <v>10</v>
      </c>
      <c r="R27" s="113">
        <v>10</v>
      </c>
      <c r="S27" s="113"/>
      <c r="T27" s="113"/>
      <c r="U27" s="113">
        <v>10</v>
      </c>
      <c r="V27" s="113">
        <v>10</v>
      </c>
      <c r="W27" s="50"/>
      <c r="X27" s="50"/>
      <c r="Y27" s="113">
        <v>10</v>
      </c>
      <c r="Z27" s="113">
        <v>10</v>
      </c>
      <c r="AA27" s="113"/>
      <c r="AB27" s="113"/>
      <c r="AC27" s="113">
        <v>10</v>
      </c>
      <c r="AD27" s="50">
        <v>10</v>
      </c>
      <c r="AE27" s="50"/>
      <c r="AF27" s="113"/>
      <c r="AG27" s="114"/>
      <c r="AH27" s="62">
        <f t="shared" si="0"/>
        <v>134</v>
      </c>
      <c r="AI27" s="64" t="s">
        <v>26</v>
      </c>
      <c r="AJ27" s="33"/>
      <c r="AK27" s="33"/>
      <c r="AL27" s="33"/>
      <c r="AM27" s="33"/>
    </row>
    <row r="28" spans="1:39" s="13" customFormat="1" ht="13.5" thickBot="1" x14ac:dyDescent="0.25">
      <c r="A28" s="48"/>
      <c r="B28" s="49"/>
      <c r="C28" s="132"/>
      <c r="D28" s="100"/>
      <c r="E28" s="100"/>
      <c r="F28" s="100"/>
      <c r="G28" s="100"/>
      <c r="H28" s="100"/>
      <c r="I28" s="51"/>
      <c r="J28" s="51"/>
      <c r="K28" s="100"/>
      <c r="L28" s="100"/>
      <c r="M28" s="100"/>
      <c r="N28" s="100"/>
      <c r="O28" s="100"/>
      <c r="P28" s="51"/>
      <c r="Q28" s="51"/>
      <c r="R28" s="100"/>
      <c r="S28" s="100"/>
      <c r="T28" s="100"/>
      <c r="U28" s="100"/>
      <c r="V28" s="100"/>
      <c r="W28" s="51"/>
      <c r="X28" s="51"/>
      <c r="Y28" s="100"/>
      <c r="Z28" s="100"/>
      <c r="AA28" s="100"/>
      <c r="AB28" s="100"/>
      <c r="AC28" s="100"/>
      <c r="AD28" s="51"/>
      <c r="AE28" s="51"/>
      <c r="AF28" s="100"/>
      <c r="AG28" s="128"/>
      <c r="AH28" s="55">
        <f>SUM(AH11:AH27)</f>
        <v>2951</v>
      </c>
      <c r="AI28" s="35"/>
      <c r="AJ28" s="33"/>
      <c r="AK28" s="33"/>
      <c r="AL28" s="33"/>
      <c r="AM28" s="33"/>
    </row>
    <row r="29" spans="1:39" x14ac:dyDescent="0.2">
      <c r="A29" s="36"/>
      <c r="B29" s="37"/>
      <c r="C29" s="34"/>
      <c r="D29" s="34"/>
      <c r="E29" s="34"/>
      <c r="F29" s="34"/>
      <c r="G29" s="34"/>
      <c r="H29" s="34"/>
      <c r="I29" s="34"/>
      <c r="J29" s="32"/>
      <c r="K29" s="34"/>
      <c r="L29" s="34"/>
      <c r="M29" s="34"/>
      <c r="N29" s="34"/>
      <c r="O29" s="178"/>
      <c r="P29" s="178"/>
      <c r="Q29" s="178"/>
      <c r="R29" s="178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2"/>
      <c r="AG29" s="32"/>
      <c r="AH29" s="34"/>
      <c r="AI29" s="38"/>
      <c r="AJ29" s="36"/>
      <c r="AK29" s="33"/>
      <c r="AL29" s="33"/>
      <c r="AM29" s="33"/>
    </row>
    <row r="30" spans="1:39" x14ac:dyDescent="0.2">
      <c r="A30" s="36"/>
      <c r="B30" s="37"/>
      <c r="C30" s="193" t="s">
        <v>6</v>
      </c>
      <c r="D30" s="194"/>
      <c r="E30" s="194"/>
      <c r="F30" s="194"/>
      <c r="G30" s="194"/>
      <c r="H30" s="194"/>
      <c r="I30" s="194"/>
      <c r="J30" s="194"/>
      <c r="K30" s="194"/>
      <c r="L30" s="192" t="s">
        <v>3</v>
      </c>
      <c r="M30" s="192"/>
      <c r="N30" s="192"/>
      <c r="O30" s="192"/>
      <c r="P30" s="192"/>
      <c r="Q30" s="192"/>
      <c r="R30" s="192"/>
      <c r="S30" s="192"/>
      <c r="T30" s="34"/>
      <c r="U30" s="34"/>
      <c r="V30" s="34"/>
      <c r="W30" s="34"/>
      <c r="X30" s="34"/>
      <c r="Y30" s="34"/>
      <c r="Z30" s="39" t="s">
        <v>29</v>
      </c>
      <c r="AA30" s="40"/>
      <c r="AB30" s="34"/>
      <c r="AC30" s="40"/>
      <c r="AD30" s="40"/>
      <c r="AE30" s="40"/>
      <c r="AF30" s="32"/>
      <c r="AG30" s="32"/>
      <c r="AH30" s="34"/>
      <c r="AI30" s="38"/>
      <c r="AJ30" s="36"/>
      <c r="AK30" s="33"/>
      <c r="AL30" s="33"/>
      <c r="AM30" s="33"/>
    </row>
    <row r="31" spans="1:39" x14ac:dyDescent="0.2">
      <c r="A31" s="36"/>
      <c r="B31" s="41"/>
      <c r="C31" s="34"/>
      <c r="D31" s="34"/>
      <c r="E31" s="34"/>
      <c r="F31" s="34"/>
      <c r="G31" s="34"/>
      <c r="H31" s="34"/>
      <c r="I31" s="34"/>
      <c r="J31" s="32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40"/>
      <c r="AC31" s="34"/>
      <c r="AD31" s="34"/>
      <c r="AE31" s="34"/>
      <c r="AF31" s="34"/>
      <c r="AG31" s="34"/>
      <c r="AH31" s="34"/>
      <c r="AI31" s="38"/>
      <c r="AJ31" s="36"/>
      <c r="AK31" s="33"/>
      <c r="AL31" s="33"/>
      <c r="AM31" s="33"/>
    </row>
    <row r="32" spans="1:39" x14ac:dyDescent="0.2">
      <c r="B32" s="18"/>
      <c r="C32" s="9"/>
      <c r="D32" s="9"/>
      <c r="E32" s="9"/>
      <c r="F32" s="7"/>
      <c r="G32" s="9"/>
      <c r="H32" s="9"/>
      <c r="I32" s="9"/>
      <c r="J32" s="10"/>
      <c r="K32" s="9"/>
      <c r="L32" s="12"/>
      <c r="M32" s="12"/>
      <c r="N32" s="12"/>
      <c r="O32" s="12"/>
      <c r="P32" s="12"/>
      <c r="Q32" s="12"/>
      <c r="R32" s="12"/>
      <c r="S32" s="1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21"/>
      <c r="AJ32" s="7"/>
    </row>
    <row r="33" spans="1:36" x14ac:dyDescent="0.2">
      <c r="B33" s="18"/>
      <c r="AF33" s="9"/>
      <c r="AG33" s="9"/>
      <c r="AH33" s="9"/>
      <c r="AI33" s="21"/>
      <c r="AJ33" s="7"/>
    </row>
    <row r="34" spans="1:36" x14ac:dyDescent="0.2">
      <c r="B34" s="18"/>
      <c r="AF34" s="11"/>
      <c r="AG34" s="11"/>
      <c r="AH34" s="9"/>
      <c r="AI34" s="21"/>
      <c r="AJ34" s="7"/>
    </row>
    <row r="35" spans="1:36" x14ac:dyDescent="0.2">
      <c r="B35" s="18"/>
      <c r="AF35" s="9"/>
      <c r="AG35" s="9"/>
      <c r="AH35" s="9"/>
      <c r="AI35" s="21"/>
      <c r="AJ35" s="7"/>
    </row>
    <row r="36" spans="1:36" x14ac:dyDescent="0.2">
      <c r="B36" s="18" t="s">
        <v>12</v>
      </c>
      <c r="C36" t="s">
        <v>54</v>
      </c>
      <c r="AF36" s="9"/>
      <c r="AG36" s="9"/>
      <c r="AH36" s="11"/>
      <c r="AI36" s="21"/>
      <c r="AJ36" s="7"/>
    </row>
    <row r="37" spans="1:36" x14ac:dyDescent="0.2">
      <c r="B37" s="19"/>
      <c r="AF37" s="6"/>
      <c r="AG37" s="6"/>
      <c r="AH37" s="9"/>
      <c r="AI37" s="22"/>
    </row>
    <row r="38" spans="1:36" x14ac:dyDescent="0.2">
      <c r="A38" s="26"/>
      <c r="B38" s="19"/>
      <c r="C38" s="1"/>
      <c r="D38" s="1"/>
      <c r="E38" s="1"/>
      <c r="F38" s="1"/>
      <c r="G38" s="1"/>
      <c r="H38" s="1"/>
      <c r="I38" s="1"/>
      <c r="J38" s="2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4"/>
      <c r="AE38" s="4"/>
      <c r="AF38" s="4"/>
      <c r="AG38" s="4"/>
      <c r="AH38" s="6"/>
    </row>
    <row r="39" spans="1:36" x14ac:dyDescent="0.2">
      <c r="A39" s="26"/>
      <c r="B39" s="19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/>
      <c r="AE39" s="4"/>
      <c r="AF39" s="4"/>
      <c r="AG39" s="4"/>
      <c r="AH39" s="1"/>
    </row>
    <row r="40" spans="1:36" x14ac:dyDescent="0.2">
      <c r="A40" s="26"/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/>
      <c r="AE40" s="4"/>
      <c r="AF40" s="4"/>
      <c r="AG40" s="4"/>
      <c r="AH40" s="1"/>
    </row>
    <row r="41" spans="1:36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/>
      <c r="AE41" s="4"/>
      <c r="AF41" s="4"/>
      <c r="AG41" s="4"/>
      <c r="AH41" s="1"/>
    </row>
    <row r="42" spans="1:36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/>
      <c r="AE42" s="4"/>
      <c r="AF42" s="4"/>
      <c r="AG42" s="4"/>
      <c r="AH42" s="1"/>
    </row>
    <row r="43" spans="1:36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4"/>
      <c r="AF43" s="4"/>
      <c r="AG43" s="4"/>
      <c r="AH43" s="1"/>
    </row>
    <row r="44" spans="1:36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  <c r="AE44" s="4"/>
      <c r="AF44" s="4"/>
      <c r="AG44" s="4"/>
      <c r="AH44" s="1"/>
    </row>
    <row r="45" spans="1:36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  <c r="AE45" s="4"/>
      <c r="AF45" s="4"/>
      <c r="AG45" s="4"/>
      <c r="AH45" s="1"/>
    </row>
    <row r="46" spans="1:36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  <c r="AE46" s="4"/>
      <c r="AF46" s="4"/>
      <c r="AG46" s="4"/>
      <c r="AH46" s="1"/>
    </row>
    <row r="47" spans="1:36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  <c r="AE47" s="4"/>
      <c r="AF47" s="4"/>
      <c r="AG47" s="4"/>
      <c r="AH47" s="1"/>
    </row>
    <row r="48" spans="1:36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  <c r="AE48" s="4"/>
      <c r="AF48" s="4"/>
      <c r="AG48" s="4"/>
      <c r="AH48" s="1"/>
    </row>
    <row r="49" spans="3:34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  <c r="AE49" s="4"/>
      <c r="AF49" s="4"/>
      <c r="AG49" s="4"/>
      <c r="AH49" s="1"/>
    </row>
    <row r="50" spans="3:34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  <c r="AE50" s="4"/>
      <c r="AF50" s="4"/>
      <c r="AG50" s="4"/>
      <c r="AH50" s="1"/>
    </row>
    <row r="51" spans="3:34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4"/>
      <c r="AF51" s="4"/>
      <c r="AG51" s="4"/>
      <c r="AH51" s="1"/>
    </row>
    <row r="52" spans="3:34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  <c r="AE52" s="4"/>
      <c r="AF52" s="4"/>
      <c r="AG52" s="4"/>
      <c r="AH52" s="1"/>
    </row>
    <row r="53" spans="3:34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  <c r="AE53" s="4"/>
      <c r="AF53" s="4"/>
      <c r="AG53" s="4"/>
      <c r="AH53" s="1"/>
    </row>
    <row r="54" spans="3:34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  <c r="AE54" s="4"/>
      <c r="AF54" s="4"/>
      <c r="AG54" s="4"/>
      <c r="AH54" s="1"/>
    </row>
    <row r="55" spans="3:34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  <c r="AE55" s="4"/>
      <c r="AF55" s="4"/>
      <c r="AG55" s="4"/>
      <c r="AH55" s="1"/>
    </row>
    <row r="56" spans="3:34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  <c r="AE56" s="4"/>
      <c r="AF56" s="4"/>
      <c r="AG56" s="4"/>
      <c r="AH56" s="1"/>
    </row>
    <row r="57" spans="3:34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  <c r="AE57" s="4"/>
      <c r="AF57" s="4"/>
      <c r="AG57" s="4"/>
      <c r="AH57" s="1"/>
    </row>
    <row r="58" spans="3:34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  <c r="AE58" s="4"/>
      <c r="AF58" s="4"/>
      <c r="AG58" s="4"/>
      <c r="AH58" s="1"/>
    </row>
    <row r="59" spans="3:34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  <c r="AE59" s="4"/>
      <c r="AF59" s="4"/>
      <c r="AG59" s="4"/>
      <c r="AH59" s="1"/>
    </row>
    <row r="60" spans="3:34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  <c r="AE60" s="4"/>
      <c r="AF60" s="4"/>
      <c r="AG60" s="4"/>
      <c r="AH60" s="1"/>
    </row>
    <row r="61" spans="3:34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  <c r="AE61" s="4"/>
      <c r="AF61" s="4"/>
      <c r="AG61" s="4"/>
      <c r="AH61" s="1"/>
    </row>
    <row r="62" spans="3:34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  <c r="AE62" s="4"/>
      <c r="AF62" s="4"/>
      <c r="AG62" s="4"/>
      <c r="AH62" s="1"/>
    </row>
    <row r="63" spans="3:34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  <c r="AE63" s="4"/>
      <c r="AF63" s="4"/>
      <c r="AG63" s="4"/>
      <c r="AH63" s="1"/>
    </row>
    <row r="64" spans="3:34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  <c r="AE64" s="4"/>
      <c r="AF64" s="4"/>
      <c r="AG64" s="4"/>
      <c r="AH64" s="1"/>
    </row>
    <row r="65" spans="3:34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  <c r="AE65" s="4"/>
      <c r="AF65" s="4"/>
      <c r="AG65" s="4"/>
      <c r="AH65" s="1"/>
    </row>
    <row r="66" spans="3:34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  <c r="AE66" s="4"/>
      <c r="AF66" s="4"/>
      <c r="AG66" s="4"/>
      <c r="AH66" s="1"/>
    </row>
    <row r="67" spans="3:34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4"/>
      <c r="AF67" s="4"/>
      <c r="AG67" s="4"/>
      <c r="AH67" s="1"/>
    </row>
    <row r="68" spans="3:34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4"/>
      <c r="AF68" s="4"/>
      <c r="AG68" s="4"/>
      <c r="AH68" s="1"/>
    </row>
    <row r="69" spans="3:34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  <c r="AE69" s="4"/>
      <c r="AF69" s="4"/>
      <c r="AG69" s="4"/>
      <c r="AH69" s="1"/>
    </row>
    <row r="70" spans="3:34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  <c r="AE70" s="4"/>
      <c r="AF70" s="4"/>
      <c r="AG70" s="4"/>
      <c r="AH70" s="1"/>
    </row>
    <row r="71" spans="3:34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  <c r="AE71" s="4"/>
      <c r="AF71" s="4"/>
      <c r="AG71" s="4"/>
      <c r="AH71" s="1"/>
    </row>
    <row r="72" spans="3:34" x14ac:dyDescent="0.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  <c r="AE72" s="4"/>
      <c r="AF72" s="4"/>
      <c r="AG72" s="4"/>
      <c r="AH72" s="1"/>
    </row>
    <row r="73" spans="3:34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  <c r="AE73" s="4"/>
      <c r="AF73" s="4"/>
      <c r="AG73" s="4"/>
      <c r="AH73" s="1"/>
    </row>
    <row r="74" spans="3:34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  <c r="AE74" s="4"/>
      <c r="AF74" s="4"/>
      <c r="AG74" s="4"/>
      <c r="AH74" s="1"/>
    </row>
    <row r="75" spans="3:34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  <c r="AE75" s="4"/>
      <c r="AF75" s="4"/>
      <c r="AG75" s="4"/>
      <c r="AH75" s="1"/>
    </row>
    <row r="76" spans="3:34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  <c r="AE76" s="4"/>
      <c r="AF76" s="4"/>
      <c r="AG76" s="4"/>
      <c r="AH76" s="1"/>
    </row>
    <row r="77" spans="3:34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  <c r="AE77" s="4"/>
      <c r="AF77" s="4"/>
      <c r="AG77" s="4"/>
      <c r="AH77" s="1"/>
    </row>
    <row r="78" spans="3:34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  <c r="AE78" s="4"/>
      <c r="AF78" s="4"/>
      <c r="AG78" s="4"/>
      <c r="AH78" s="1"/>
    </row>
    <row r="79" spans="3:34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  <c r="AE79" s="4"/>
      <c r="AF79" s="4"/>
      <c r="AG79" s="4"/>
      <c r="AH79" s="1"/>
    </row>
    <row r="80" spans="3:34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  <c r="AE80" s="4"/>
      <c r="AF80" s="4"/>
      <c r="AG80" s="4"/>
      <c r="AH80" s="1"/>
    </row>
    <row r="81" spans="3:34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  <c r="AE81" s="4"/>
      <c r="AF81" s="4"/>
      <c r="AG81" s="4"/>
      <c r="AH81" s="1"/>
    </row>
    <row r="82" spans="3:34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  <c r="AE82" s="4"/>
      <c r="AF82" s="4"/>
      <c r="AG82" s="4"/>
      <c r="AH82" s="1"/>
    </row>
    <row r="83" spans="3:34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  <c r="AE83" s="4"/>
      <c r="AF83" s="4"/>
      <c r="AG83" s="4"/>
      <c r="AH83" s="1"/>
    </row>
    <row r="84" spans="3:34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  <c r="AE84" s="4"/>
      <c r="AF84" s="4"/>
      <c r="AG84" s="4"/>
      <c r="AH84" s="1"/>
    </row>
    <row r="85" spans="3:34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  <c r="AE85" s="4"/>
      <c r="AF85" s="4"/>
      <c r="AG85" s="4"/>
      <c r="AH85" s="1"/>
    </row>
    <row r="86" spans="3:34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  <c r="AE86" s="4"/>
      <c r="AF86" s="4"/>
      <c r="AG86" s="4"/>
      <c r="AH86" s="1"/>
    </row>
    <row r="87" spans="3:34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  <c r="AE87" s="4"/>
      <c r="AF87" s="4"/>
      <c r="AG87" s="4"/>
      <c r="AH87" s="1"/>
    </row>
    <row r="88" spans="3:34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  <c r="AE88" s="4"/>
      <c r="AF88" s="4"/>
      <c r="AG88" s="4"/>
      <c r="AH88" s="1"/>
    </row>
    <row r="89" spans="3:34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  <c r="AE89" s="4"/>
      <c r="AF89" s="4"/>
      <c r="AG89" s="4"/>
      <c r="AH89" s="1"/>
    </row>
    <row r="90" spans="3:34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  <c r="AE90" s="4"/>
      <c r="AF90" s="4"/>
      <c r="AG90" s="4"/>
      <c r="AH90" s="1"/>
    </row>
    <row r="91" spans="3:34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  <c r="AE91" s="4"/>
      <c r="AF91" s="4"/>
      <c r="AG91" s="4"/>
      <c r="AH91" s="1"/>
    </row>
    <row r="92" spans="3:34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  <c r="AE92" s="4"/>
      <c r="AF92" s="4"/>
      <c r="AG92" s="4"/>
      <c r="AH92" s="1"/>
    </row>
    <row r="93" spans="3:34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4"/>
      <c r="AF93" s="4"/>
      <c r="AG93" s="4"/>
      <c r="AH93" s="1"/>
    </row>
    <row r="94" spans="3:34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4"/>
      <c r="AF94" s="4"/>
      <c r="AG94" s="4"/>
      <c r="AH94" s="1"/>
    </row>
    <row r="95" spans="3:34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  <c r="AE95" s="4"/>
      <c r="AF95" s="4"/>
      <c r="AG95" s="4"/>
      <c r="AH95" s="1"/>
    </row>
    <row r="96" spans="3:34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  <c r="AE96" s="4"/>
      <c r="AF96" s="4"/>
      <c r="AG96" s="4"/>
      <c r="AH96" s="1"/>
    </row>
    <row r="97" spans="3:34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  <c r="AE97" s="4"/>
      <c r="AF97" s="4"/>
      <c r="AG97" s="4"/>
      <c r="AH97" s="1"/>
    </row>
    <row r="98" spans="3:34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  <c r="AE98" s="4"/>
      <c r="AF98" s="4"/>
      <c r="AG98" s="4"/>
      <c r="AH98" s="1"/>
    </row>
    <row r="99" spans="3:34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  <c r="AE99" s="4"/>
      <c r="AF99" s="4"/>
      <c r="AG99" s="4"/>
      <c r="AH99" s="1"/>
    </row>
    <row r="100" spans="3:34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  <c r="AE100" s="4"/>
      <c r="AF100" s="4"/>
      <c r="AG100" s="4"/>
      <c r="AH100" s="1"/>
    </row>
    <row r="101" spans="3:34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/>
      <c r="AE101" s="4"/>
      <c r="AF101" s="4"/>
      <c r="AG101" s="4"/>
      <c r="AH101" s="1"/>
    </row>
    <row r="102" spans="3:34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/>
      <c r="AE102" s="4"/>
      <c r="AF102" s="4"/>
      <c r="AG102" s="4"/>
      <c r="AH102" s="1"/>
    </row>
    <row r="103" spans="3:34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/>
      <c r="AE103" s="4"/>
      <c r="AF103" s="4"/>
      <c r="AG103" s="4"/>
      <c r="AH103" s="1"/>
    </row>
    <row r="104" spans="3:34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"/>
      <c r="AE104" s="4"/>
      <c r="AF104" s="4"/>
      <c r="AG104" s="4"/>
      <c r="AH104" s="1"/>
    </row>
    <row r="105" spans="3:34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"/>
      <c r="AE105" s="4"/>
      <c r="AF105" s="4"/>
      <c r="AG105" s="4"/>
      <c r="AH105" s="1"/>
    </row>
    <row r="106" spans="3:34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"/>
      <c r="AE106" s="4"/>
      <c r="AF106" s="4"/>
      <c r="AG106" s="4"/>
      <c r="AH106" s="1"/>
    </row>
    <row r="107" spans="3:34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"/>
      <c r="AE107" s="4"/>
      <c r="AF107" s="4"/>
      <c r="AG107" s="4"/>
      <c r="AH107" s="1"/>
    </row>
    <row r="108" spans="3:34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"/>
      <c r="AE108" s="4"/>
      <c r="AF108" s="4"/>
      <c r="AG108" s="4"/>
      <c r="AH108" s="1"/>
    </row>
    <row r="109" spans="3:34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"/>
      <c r="AE109" s="4"/>
      <c r="AF109" s="4"/>
      <c r="AG109" s="4"/>
      <c r="AH109" s="1"/>
    </row>
    <row r="110" spans="3:34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/>
      <c r="AE110" s="4"/>
      <c r="AF110" s="4"/>
      <c r="AG110" s="4"/>
      <c r="AH110" s="1"/>
    </row>
    <row r="111" spans="3:34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"/>
      <c r="AE111" s="4"/>
      <c r="AF111" s="4"/>
      <c r="AG111" s="4"/>
      <c r="AH111" s="1"/>
    </row>
    <row r="112" spans="3:34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/>
      <c r="AE112" s="4"/>
      <c r="AF112" s="4"/>
      <c r="AG112" s="4"/>
      <c r="AH112" s="1"/>
    </row>
    <row r="113" spans="3:34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"/>
      <c r="AE113" s="4"/>
      <c r="AF113" s="4"/>
      <c r="AG113" s="4"/>
      <c r="AH113" s="1"/>
    </row>
    <row r="114" spans="3:34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"/>
      <c r="AE114" s="4"/>
      <c r="AF114" s="4"/>
      <c r="AG114" s="4"/>
      <c r="AH114" s="1"/>
    </row>
    <row r="115" spans="3:34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"/>
      <c r="AE115" s="4"/>
      <c r="AF115" s="4"/>
      <c r="AG115" s="4"/>
      <c r="AH115" s="1"/>
    </row>
    <row r="116" spans="3:34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"/>
      <c r="AE116" s="4"/>
      <c r="AF116" s="4"/>
      <c r="AG116" s="4"/>
      <c r="AH116" s="1"/>
    </row>
    <row r="117" spans="3:34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/>
      <c r="AE117" s="4"/>
      <c r="AF117" s="4"/>
      <c r="AG117" s="4"/>
      <c r="AH117" s="1"/>
    </row>
    <row r="118" spans="3:34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/>
      <c r="AE118" s="4"/>
      <c r="AF118" s="4"/>
      <c r="AG118" s="4"/>
      <c r="AH118" s="1"/>
    </row>
    <row r="119" spans="3:34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/>
      <c r="AE119" s="4"/>
      <c r="AF119" s="4"/>
      <c r="AG119" s="4"/>
      <c r="AH119" s="1"/>
    </row>
    <row r="120" spans="3:34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/>
      <c r="AE120" s="4"/>
      <c r="AF120" s="4"/>
      <c r="AG120" s="4"/>
      <c r="AH120" s="1"/>
    </row>
    <row r="121" spans="3:34" x14ac:dyDescent="0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/>
      <c r="AE121" s="4"/>
      <c r="AF121" s="4"/>
      <c r="AG121" s="4"/>
      <c r="AH121" s="1"/>
    </row>
    <row r="122" spans="3:34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/>
      <c r="AE122" s="4"/>
      <c r="AF122" s="4"/>
      <c r="AG122" s="4"/>
      <c r="AH122" s="1"/>
    </row>
    <row r="123" spans="3:34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/>
      <c r="AE123" s="4"/>
      <c r="AF123" s="4"/>
      <c r="AG123" s="4"/>
      <c r="AH123" s="1"/>
    </row>
    <row r="124" spans="3:34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/>
      <c r="AE124" s="4"/>
      <c r="AF124" s="4"/>
      <c r="AG124" s="4"/>
      <c r="AH124" s="1"/>
    </row>
    <row r="125" spans="3:34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/>
      <c r="AE125" s="4"/>
      <c r="AF125" s="4"/>
      <c r="AG125" s="4"/>
      <c r="AH125" s="1"/>
    </row>
    <row r="126" spans="3:34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/>
      <c r="AE126" s="4"/>
      <c r="AF126" s="4"/>
      <c r="AG126" s="4"/>
      <c r="AH126" s="1"/>
    </row>
    <row r="127" spans="3:34" x14ac:dyDescent="0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"/>
      <c r="AE127" s="4"/>
      <c r="AF127" s="4"/>
      <c r="AG127" s="4"/>
      <c r="AH127" s="1"/>
    </row>
    <row r="128" spans="3:34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/>
      <c r="AE128" s="4"/>
      <c r="AF128" s="4"/>
      <c r="AG128" s="4"/>
      <c r="AH128" s="1"/>
    </row>
    <row r="129" spans="3:34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"/>
      <c r="AE129" s="4"/>
      <c r="AF129" s="4"/>
      <c r="AG129" s="4"/>
      <c r="AH129" s="1"/>
    </row>
    <row r="130" spans="3:34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/>
      <c r="AE130" s="4"/>
      <c r="AF130" s="4"/>
      <c r="AG130" s="4"/>
      <c r="AH130" s="1"/>
    </row>
    <row r="131" spans="3:34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"/>
      <c r="AE131" s="4"/>
      <c r="AF131" s="4"/>
      <c r="AG131" s="4"/>
      <c r="AH131" s="1"/>
    </row>
    <row r="132" spans="3:34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/>
      <c r="AE132" s="4"/>
      <c r="AF132" s="4"/>
      <c r="AG132" s="4"/>
      <c r="AH132" s="1"/>
    </row>
    <row r="133" spans="3:34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/>
      <c r="AE133" s="4"/>
      <c r="AF133" s="4"/>
      <c r="AG133" s="4"/>
      <c r="AH133" s="1"/>
    </row>
    <row r="134" spans="3:34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"/>
      <c r="AE134" s="4"/>
      <c r="AF134" s="4"/>
      <c r="AG134" s="4"/>
      <c r="AH134" s="1"/>
    </row>
    <row r="135" spans="3:34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"/>
      <c r="AE135" s="4"/>
      <c r="AF135" s="4"/>
      <c r="AG135" s="4"/>
      <c r="AH135" s="1"/>
    </row>
    <row r="136" spans="3:34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/>
      <c r="AE136" s="4"/>
      <c r="AF136" s="4"/>
      <c r="AG136" s="4"/>
      <c r="AH136" s="1"/>
    </row>
    <row r="137" spans="3:34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"/>
      <c r="AE137" s="4"/>
      <c r="AF137" s="4"/>
      <c r="AG137" s="4"/>
      <c r="AH137" s="1"/>
    </row>
    <row r="138" spans="3:34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"/>
      <c r="AE138" s="4"/>
      <c r="AF138" s="4"/>
      <c r="AG138" s="4"/>
      <c r="AH138" s="1"/>
    </row>
    <row r="139" spans="3:34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/>
      <c r="AE139" s="4"/>
      <c r="AF139" s="4"/>
      <c r="AG139" s="4"/>
      <c r="AH139" s="1"/>
    </row>
    <row r="140" spans="3:34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"/>
      <c r="AE140" s="4"/>
      <c r="AF140" s="4"/>
      <c r="AG140" s="4"/>
      <c r="AH140" s="1"/>
    </row>
    <row r="141" spans="3:34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"/>
      <c r="AE141" s="4"/>
      <c r="AF141" s="4"/>
      <c r="AG141" s="4"/>
      <c r="AH141" s="1"/>
    </row>
    <row r="142" spans="3:34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/>
      <c r="AE142" s="4"/>
      <c r="AF142" s="4"/>
      <c r="AG142" s="4"/>
      <c r="AH142" s="1"/>
    </row>
    <row r="143" spans="3:34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"/>
      <c r="AE143" s="4"/>
      <c r="AF143" s="4"/>
      <c r="AG143" s="4"/>
      <c r="AH143" s="1"/>
    </row>
    <row r="144" spans="3:34" x14ac:dyDescent="0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  <c r="AE144" s="4"/>
      <c r="AF144" s="4"/>
      <c r="AG144" s="4"/>
      <c r="AH144" s="1"/>
    </row>
    <row r="145" spans="3:34" x14ac:dyDescent="0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/>
      <c r="AE145" s="4"/>
      <c r="AF145" s="4"/>
      <c r="AG145" s="4"/>
      <c r="AH145" s="1"/>
    </row>
    <row r="146" spans="3:34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/>
      <c r="AE146" s="4"/>
      <c r="AF146" s="4"/>
      <c r="AG146" s="4"/>
      <c r="AH146" s="1"/>
    </row>
    <row r="147" spans="3:34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/>
      <c r="AE147" s="4"/>
      <c r="AF147" s="4"/>
      <c r="AG147" s="4"/>
      <c r="AH147" s="1"/>
    </row>
    <row r="148" spans="3:34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"/>
      <c r="AE148" s="4"/>
      <c r="AF148" s="4"/>
      <c r="AG148" s="4"/>
      <c r="AH148" s="1"/>
    </row>
    <row r="149" spans="3:34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/>
      <c r="AE149" s="4"/>
      <c r="AF149" s="4"/>
      <c r="AG149" s="4"/>
      <c r="AH149" s="1"/>
    </row>
    <row r="150" spans="3:34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/>
      <c r="AE150" s="4"/>
      <c r="AF150" s="4"/>
      <c r="AG150" s="4"/>
      <c r="AH150" s="1"/>
    </row>
    <row r="151" spans="3:34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"/>
      <c r="AE151" s="4"/>
      <c r="AF151" s="4"/>
      <c r="AG151" s="4"/>
      <c r="AH151" s="1"/>
    </row>
    <row r="152" spans="3:34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"/>
      <c r="AE152" s="4"/>
      <c r="AF152" s="4"/>
      <c r="AG152" s="4"/>
      <c r="AH152" s="1"/>
    </row>
    <row r="153" spans="3:34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/>
      <c r="AE153" s="4"/>
      <c r="AF153" s="4"/>
      <c r="AG153" s="4"/>
      <c r="AH153" s="1"/>
    </row>
    <row r="154" spans="3:34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/>
      <c r="AE154" s="4"/>
      <c r="AF154" s="4"/>
      <c r="AG154" s="4"/>
      <c r="AH154" s="1"/>
    </row>
    <row r="155" spans="3:34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"/>
      <c r="AE155" s="4"/>
      <c r="AF155" s="4"/>
      <c r="AG155" s="4"/>
      <c r="AH155" s="1"/>
    </row>
    <row r="156" spans="3:34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/>
      <c r="AE156" s="4"/>
      <c r="AF156" s="4"/>
      <c r="AG156" s="4"/>
      <c r="AH156" s="1"/>
    </row>
    <row r="157" spans="3:34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"/>
      <c r="AE157" s="4"/>
      <c r="AF157" s="4"/>
      <c r="AG157" s="4"/>
      <c r="AH157" s="1"/>
    </row>
    <row r="158" spans="3:34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"/>
      <c r="AE158" s="4"/>
      <c r="AF158" s="4"/>
      <c r="AG158" s="4"/>
      <c r="AH158" s="1"/>
    </row>
    <row r="159" spans="3:34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/>
      <c r="AE159" s="4"/>
      <c r="AF159" s="4"/>
      <c r="AG159" s="4"/>
      <c r="AH159" s="1"/>
    </row>
    <row r="160" spans="3:34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"/>
      <c r="AE160" s="4"/>
      <c r="AF160" s="4"/>
      <c r="AG160" s="4"/>
      <c r="AH160" s="1"/>
    </row>
    <row r="161" spans="3:34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"/>
      <c r="AE161" s="4"/>
      <c r="AF161" s="4"/>
      <c r="AG161" s="4"/>
      <c r="AH161" s="1"/>
    </row>
    <row r="162" spans="3:34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"/>
      <c r="AE162" s="4"/>
      <c r="AF162" s="4"/>
      <c r="AG162" s="4"/>
      <c r="AH162" s="1"/>
    </row>
    <row r="163" spans="3:34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"/>
      <c r="AE163" s="4"/>
      <c r="AF163" s="4"/>
      <c r="AG163" s="4"/>
      <c r="AH163" s="1"/>
    </row>
    <row r="164" spans="3:34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"/>
      <c r="AE164" s="4"/>
      <c r="AF164" s="4"/>
      <c r="AG164" s="4"/>
      <c r="AH164" s="1"/>
    </row>
    <row r="165" spans="3:34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/>
      <c r="AE165" s="4"/>
      <c r="AF165" s="4"/>
      <c r="AG165" s="4"/>
      <c r="AH165" s="1"/>
    </row>
    <row r="166" spans="3:34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/>
      <c r="AE166" s="4"/>
      <c r="AF166" s="4"/>
      <c r="AG166" s="4"/>
      <c r="AH166" s="1"/>
    </row>
    <row r="167" spans="3:34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"/>
      <c r="AE167" s="4"/>
      <c r="AF167" s="4"/>
      <c r="AG167" s="4"/>
      <c r="AH167" s="1"/>
    </row>
    <row r="168" spans="3:34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"/>
      <c r="AE168" s="4"/>
      <c r="AF168" s="4"/>
      <c r="AG168" s="4"/>
      <c r="AH168" s="1"/>
    </row>
    <row r="169" spans="3:34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/>
      <c r="AE169" s="4"/>
      <c r="AF169" s="4"/>
      <c r="AG169" s="4"/>
      <c r="AH169" s="1"/>
    </row>
    <row r="170" spans="3:34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"/>
      <c r="AE170" s="4"/>
      <c r="AF170" s="4"/>
      <c r="AG170" s="4"/>
      <c r="AH170" s="1"/>
    </row>
    <row r="171" spans="3:34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"/>
      <c r="AE171" s="4"/>
      <c r="AF171" s="4"/>
      <c r="AG171" s="4"/>
      <c r="AH171" s="1"/>
    </row>
    <row r="172" spans="3:34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4"/>
      <c r="AE172" s="4"/>
      <c r="AF172" s="4"/>
      <c r="AG172" s="4"/>
      <c r="AH172" s="1"/>
    </row>
    <row r="173" spans="3:34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4"/>
      <c r="AE173" s="4"/>
      <c r="AF173" s="4"/>
      <c r="AG173" s="4"/>
      <c r="AH173" s="1"/>
    </row>
    <row r="174" spans="3:34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4"/>
      <c r="AE174" s="4"/>
      <c r="AF174" s="4"/>
      <c r="AG174" s="4"/>
      <c r="AH174" s="1"/>
    </row>
    <row r="175" spans="3:34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"/>
      <c r="AE175" s="4"/>
      <c r="AF175" s="4"/>
      <c r="AG175" s="4"/>
      <c r="AH175" s="1"/>
    </row>
    <row r="176" spans="3:34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"/>
      <c r="AE176" s="4"/>
      <c r="AF176" s="4"/>
      <c r="AG176" s="4"/>
      <c r="AH176" s="1"/>
    </row>
    <row r="177" spans="3:34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"/>
      <c r="AE177" s="4"/>
      <c r="AF177" s="4"/>
      <c r="AG177" s="4"/>
      <c r="AH177" s="1"/>
    </row>
    <row r="178" spans="3:34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4"/>
      <c r="AE178" s="4"/>
      <c r="AF178" s="4"/>
      <c r="AG178" s="4"/>
      <c r="AH178" s="1"/>
    </row>
    <row r="179" spans="3:34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4"/>
      <c r="AE179" s="4"/>
      <c r="AF179" s="4"/>
      <c r="AG179" s="4"/>
      <c r="AH179" s="1"/>
    </row>
    <row r="180" spans="3:34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"/>
      <c r="AE180" s="4"/>
      <c r="AF180" s="4"/>
      <c r="AG180" s="4"/>
      <c r="AH180" s="1"/>
    </row>
    <row r="181" spans="3:34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"/>
      <c r="AE181" s="4"/>
      <c r="AF181" s="4"/>
      <c r="AG181" s="4"/>
      <c r="AH181" s="1"/>
    </row>
    <row r="182" spans="3:34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4"/>
      <c r="AE182" s="4"/>
      <c r="AF182" s="4"/>
      <c r="AG182" s="4"/>
      <c r="AH182" s="1"/>
    </row>
    <row r="183" spans="3:34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4"/>
      <c r="AE183" s="4"/>
      <c r="AF183" s="4"/>
      <c r="AG183" s="4"/>
      <c r="AH183" s="1"/>
    </row>
    <row r="184" spans="3:34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"/>
      <c r="AE184" s="4"/>
      <c r="AF184" s="4"/>
      <c r="AG184" s="4"/>
      <c r="AH184" s="1"/>
    </row>
    <row r="185" spans="3:34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"/>
      <c r="AE185" s="4"/>
      <c r="AF185" s="4"/>
      <c r="AG185" s="4"/>
      <c r="AH185" s="1"/>
    </row>
    <row r="186" spans="3:34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"/>
      <c r="AE186" s="4"/>
      <c r="AF186" s="4"/>
      <c r="AG186" s="4"/>
      <c r="AH186" s="1"/>
    </row>
    <row r="187" spans="3:34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"/>
      <c r="AE187" s="4"/>
      <c r="AF187" s="4"/>
      <c r="AG187" s="4"/>
      <c r="AH187" s="1"/>
    </row>
    <row r="188" spans="3:34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"/>
      <c r="AE188" s="4"/>
      <c r="AF188" s="4"/>
      <c r="AG188" s="4"/>
      <c r="AH188" s="1"/>
    </row>
    <row r="189" spans="3:34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"/>
      <c r="AE189" s="4"/>
      <c r="AF189" s="4"/>
      <c r="AG189" s="4"/>
      <c r="AH189" s="1"/>
    </row>
    <row r="190" spans="3:34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4"/>
      <c r="AE190" s="4"/>
      <c r="AF190" s="4"/>
      <c r="AG190" s="4"/>
      <c r="AH190" s="1"/>
    </row>
    <row r="191" spans="3:34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"/>
      <c r="AE191" s="4"/>
      <c r="AF191" s="4"/>
      <c r="AG191" s="4"/>
      <c r="AH191" s="1"/>
    </row>
    <row r="192" spans="3:34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"/>
      <c r="AE192" s="4"/>
      <c r="AF192" s="4"/>
      <c r="AG192" s="4"/>
      <c r="AH192" s="1"/>
    </row>
    <row r="193" spans="3:34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/>
      <c r="AE193" s="4"/>
      <c r="AF193" s="4"/>
      <c r="AG193" s="4"/>
      <c r="AH193" s="1"/>
    </row>
    <row r="194" spans="3:34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4"/>
      <c r="AE194" s="4"/>
      <c r="AF194" s="4"/>
      <c r="AG194" s="4"/>
      <c r="AH194" s="1"/>
    </row>
    <row r="195" spans="3:34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4"/>
      <c r="AE195" s="4"/>
      <c r="AF195" s="4"/>
      <c r="AG195" s="4"/>
      <c r="AH195" s="1"/>
    </row>
    <row r="196" spans="3:34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4"/>
      <c r="AE196" s="4"/>
      <c r="AF196" s="4"/>
      <c r="AG196" s="4"/>
      <c r="AH196" s="1"/>
    </row>
    <row r="197" spans="3:34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"/>
      <c r="AE197" s="4"/>
      <c r="AF197" s="4"/>
      <c r="AG197" s="4"/>
      <c r="AH197" s="1"/>
    </row>
    <row r="198" spans="3:34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"/>
      <c r="AE198" s="4"/>
      <c r="AF198" s="4"/>
      <c r="AG198" s="4"/>
      <c r="AH198" s="1"/>
    </row>
    <row r="199" spans="3:34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4"/>
      <c r="AE199" s="4"/>
      <c r="AF199" s="4"/>
      <c r="AG199" s="4"/>
      <c r="AH199" s="1"/>
    </row>
    <row r="200" spans="3:34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"/>
      <c r="AE200" s="4"/>
      <c r="AF200" s="4"/>
      <c r="AG200" s="4"/>
      <c r="AH200" s="1"/>
    </row>
    <row r="201" spans="3:34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4"/>
      <c r="AE201" s="4"/>
      <c r="AF201" s="4"/>
      <c r="AG201" s="4"/>
      <c r="AH201" s="1"/>
    </row>
    <row r="202" spans="3:34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"/>
      <c r="AE202" s="4"/>
      <c r="AF202" s="4"/>
      <c r="AG202" s="4"/>
      <c r="AH202" s="1"/>
    </row>
    <row r="203" spans="3:34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/>
      <c r="AE203" s="4"/>
      <c r="AF203" s="4"/>
      <c r="AG203" s="4"/>
      <c r="AH203" s="1"/>
    </row>
    <row r="204" spans="3:34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"/>
      <c r="AE204" s="4"/>
      <c r="AF204" s="4"/>
      <c r="AG204" s="4"/>
      <c r="AH204" s="1"/>
    </row>
    <row r="205" spans="3:34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"/>
      <c r="AE205" s="4"/>
      <c r="AF205" s="4"/>
      <c r="AG205" s="4"/>
      <c r="AH205" s="1"/>
    </row>
    <row r="206" spans="3:34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"/>
      <c r="AE206" s="4"/>
      <c r="AF206" s="4"/>
      <c r="AG206" s="4"/>
      <c r="AH206" s="1"/>
    </row>
    <row r="207" spans="3:34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4"/>
      <c r="AE207" s="4"/>
      <c r="AF207" s="4"/>
      <c r="AG207" s="4"/>
      <c r="AH207" s="1"/>
    </row>
    <row r="208" spans="3:34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4"/>
      <c r="AE208" s="4"/>
      <c r="AF208" s="4"/>
      <c r="AG208" s="4"/>
      <c r="AH208" s="1"/>
    </row>
    <row r="209" spans="3:34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"/>
      <c r="AE209" s="4"/>
      <c r="AF209" s="4"/>
      <c r="AG209" s="4"/>
      <c r="AH209" s="1"/>
    </row>
    <row r="210" spans="3:34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4"/>
      <c r="AE210" s="4"/>
      <c r="AF210" s="4"/>
      <c r="AG210" s="4"/>
      <c r="AH210" s="1"/>
    </row>
    <row r="211" spans="3:34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4"/>
      <c r="AE211" s="4"/>
      <c r="AF211" s="4"/>
      <c r="AG211" s="4"/>
      <c r="AH211" s="1"/>
    </row>
    <row r="212" spans="3:34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4"/>
      <c r="AE212" s="4"/>
      <c r="AF212" s="4"/>
      <c r="AG212" s="4"/>
      <c r="AH212" s="1"/>
    </row>
    <row r="213" spans="3:34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"/>
      <c r="AE213" s="4"/>
      <c r="AF213" s="4"/>
      <c r="AG213" s="4"/>
      <c r="AH213" s="1"/>
    </row>
    <row r="214" spans="3:34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"/>
      <c r="AE214" s="4"/>
      <c r="AF214" s="4"/>
      <c r="AG214" s="4"/>
      <c r="AH214" s="1"/>
    </row>
    <row r="215" spans="3:34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4"/>
      <c r="AE215" s="4"/>
      <c r="AF215" s="4"/>
      <c r="AG215" s="4"/>
      <c r="AH215" s="1"/>
    </row>
    <row r="216" spans="3:34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4"/>
      <c r="AE216" s="4"/>
      <c r="AF216" s="4"/>
      <c r="AG216" s="4"/>
      <c r="AH216" s="1"/>
    </row>
    <row r="217" spans="3:34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4"/>
      <c r="AE217" s="4"/>
      <c r="AF217" s="4"/>
      <c r="AG217" s="4"/>
      <c r="AH217" s="1"/>
    </row>
    <row r="218" spans="3:34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4"/>
      <c r="AE218" s="4"/>
      <c r="AF218" s="4"/>
      <c r="AG218" s="4"/>
      <c r="AH218" s="1"/>
    </row>
    <row r="219" spans="3:34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4"/>
      <c r="AE219" s="4"/>
      <c r="AF219" s="4"/>
      <c r="AG219" s="4"/>
      <c r="AH219" s="1"/>
    </row>
    <row r="220" spans="3:34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4"/>
      <c r="AE220" s="4"/>
      <c r="AF220" s="4"/>
      <c r="AG220" s="4"/>
      <c r="AH220" s="1"/>
    </row>
    <row r="221" spans="3:34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4"/>
      <c r="AE221" s="4"/>
      <c r="AF221" s="4"/>
      <c r="AG221" s="4"/>
      <c r="AH221" s="1"/>
    </row>
    <row r="222" spans="3:34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"/>
      <c r="AE222" s="4"/>
      <c r="AF222" s="4"/>
      <c r="AG222" s="4"/>
      <c r="AH222" s="1"/>
    </row>
    <row r="223" spans="3:34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4"/>
      <c r="AE223" s="4"/>
      <c r="AF223" s="4"/>
      <c r="AG223" s="4"/>
      <c r="AH223" s="1"/>
    </row>
    <row r="224" spans="3:34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"/>
      <c r="AE224" s="4"/>
      <c r="AF224" s="4"/>
      <c r="AG224" s="4"/>
      <c r="AH224" s="1"/>
    </row>
    <row r="225" spans="3:34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4"/>
      <c r="AE225" s="4"/>
      <c r="AF225" s="4"/>
      <c r="AG225" s="4"/>
      <c r="AH225" s="1"/>
    </row>
    <row r="226" spans="3:34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4"/>
      <c r="AE226" s="4"/>
      <c r="AF226" s="4"/>
      <c r="AG226" s="4"/>
      <c r="AH226" s="1"/>
    </row>
    <row r="227" spans="3:34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"/>
      <c r="AE227" s="4"/>
      <c r="AF227" s="4"/>
      <c r="AG227" s="4"/>
      <c r="AH227" s="1"/>
    </row>
    <row r="228" spans="3:34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4"/>
      <c r="AE228" s="4"/>
      <c r="AF228" s="4"/>
      <c r="AG228" s="4"/>
      <c r="AH228" s="1"/>
    </row>
    <row r="229" spans="3:34" x14ac:dyDescent="0.2">
      <c r="AB229" s="1"/>
      <c r="AH229" s="1"/>
    </row>
    <row r="230" spans="3:34" x14ac:dyDescent="0.2">
      <c r="AH230" s="1"/>
    </row>
  </sheetData>
  <mergeCells count="12">
    <mergeCell ref="S1:AH1"/>
    <mergeCell ref="U2:AH2"/>
    <mergeCell ref="C9:AG9"/>
    <mergeCell ref="B1:E1"/>
    <mergeCell ref="B2:E2"/>
    <mergeCell ref="B5:AH6"/>
    <mergeCell ref="B8:B9"/>
    <mergeCell ref="AI8:AI9"/>
    <mergeCell ref="AH8:AH9"/>
    <mergeCell ref="A8:A9"/>
    <mergeCell ref="L30:S30"/>
    <mergeCell ref="C30:K30"/>
  </mergeCells>
  <phoneticPr fontId="0" type="noConversion"/>
  <pageMargins left="0.23622047244094491" right="0.23622047244094491" top="0.74803149606299213" bottom="0.74803149606299213" header="0.31496062992125984" footer="0.31496062992125984"/>
  <pageSetup paperSize="9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609-2CC2-45A5-A4AC-5CF8539E9463}">
  <sheetPr>
    <pageSetUpPr fitToPage="1"/>
  </sheetPr>
  <dimension ref="A1:AR233"/>
  <sheetViews>
    <sheetView tabSelected="1" zoomScale="77" zoomScaleNormal="77" workbookViewId="0">
      <pane ySplit="9" topLeftCell="A10" activePane="bottomLeft" state="frozen"/>
      <selection pane="bottomLeft" activeCell="AK36" sqref="AK36"/>
    </sheetView>
  </sheetViews>
  <sheetFormatPr defaultColWidth="9.140625" defaultRowHeight="12.75" x14ac:dyDescent="0.2"/>
  <cols>
    <col min="1" max="1" width="5.42578125" style="24" customWidth="1"/>
    <col min="2" max="2" width="29.5703125" style="20" customWidth="1"/>
    <col min="3" max="3" width="6" style="16" customWidth="1"/>
    <col min="4" max="33" width="4.140625" style="16" customWidth="1"/>
    <col min="34" max="34" width="5.5703125" style="16" customWidth="1"/>
    <col min="35" max="35" width="8" style="16" customWidth="1"/>
    <col min="36" max="36" width="9" style="16" customWidth="1"/>
    <col min="37" max="37" width="17" style="23" customWidth="1"/>
    <col min="38" max="38" width="8.140625" style="67" customWidth="1"/>
    <col min="39" max="39" width="8.5703125" style="67" customWidth="1"/>
    <col min="40" max="41" width="9.140625" style="67"/>
    <col min="42" max="16384" width="9.140625" style="16"/>
  </cols>
  <sheetData>
    <row r="1" spans="1:41" ht="15.75" x14ac:dyDescent="0.25">
      <c r="B1" s="200" t="s">
        <v>4</v>
      </c>
      <c r="C1" s="200"/>
      <c r="D1" s="200"/>
      <c r="E1" s="20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95" t="s">
        <v>5</v>
      </c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56"/>
      <c r="AK1" s="21"/>
      <c r="AL1" s="66"/>
    </row>
    <row r="2" spans="1:41" x14ac:dyDescent="0.2">
      <c r="B2" s="196" t="s">
        <v>0</v>
      </c>
      <c r="C2" s="196"/>
      <c r="D2" s="196"/>
      <c r="E2" s="19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96" t="s">
        <v>2</v>
      </c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57"/>
      <c r="AK2" s="21"/>
      <c r="AL2" s="66"/>
    </row>
    <row r="3" spans="1:41" x14ac:dyDescent="0.2"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21"/>
      <c r="AL3" s="66"/>
    </row>
    <row r="4" spans="1:41" x14ac:dyDescent="0.2">
      <c r="B4" s="14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21"/>
      <c r="AL4" s="66"/>
    </row>
    <row r="5" spans="1:41" ht="12.75" customHeight="1" x14ac:dyDescent="0.2">
      <c r="B5" s="201" t="s">
        <v>40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58"/>
      <c r="AK5" s="21"/>
      <c r="AL5" s="66"/>
    </row>
    <row r="6" spans="1:41" ht="12.75" customHeight="1" x14ac:dyDescent="0.2"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58"/>
      <c r="AK6" s="21"/>
      <c r="AL6" s="66"/>
    </row>
    <row r="7" spans="1:41" ht="12.75" customHeight="1" thickBot="1" x14ac:dyDescent="0.25">
      <c r="B7" s="14"/>
      <c r="C7" s="57"/>
      <c r="D7" s="57"/>
      <c r="E7" s="5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21"/>
      <c r="AL7" s="66"/>
    </row>
    <row r="8" spans="1:41" s="17" customFormat="1" x14ac:dyDescent="0.2">
      <c r="A8" s="204" t="s">
        <v>9</v>
      </c>
      <c r="B8" s="206" t="s">
        <v>1</v>
      </c>
      <c r="C8" s="90">
        <v>1</v>
      </c>
      <c r="D8" s="91">
        <v>2</v>
      </c>
      <c r="E8" s="91">
        <v>3</v>
      </c>
      <c r="F8" s="91">
        <v>4</v>
      </c>
      <c r="G8" s="91">
        <v>5</v>
      </c>
      <c r="H8" s="91">
        <v>6</v>
      </c>
      <c r="I8" s="91">
        <v>7</v>
      </c>
      <c r="J8" s="91">
        <v>8</v>
      </c>
      <c r="K8" s="91">
        <v>9</v>
      </c>
      <c r="L8" s="91">
        <v>10</v>
      </c>
      <c r="M8" s="91">
        <v>11</v>
      </c>
      <c r="N8" s="91">
        <v>12</v>
      </c>
      <c r="O8" s="91">
        <v>13</v>
      </c>
      <c r="P8" s="91">
        <v>14</v>
      </c>
      <c r="Q8" s="91">
        <v>15</v>
      </c>
      <c r="R8" s="91">
        <v>16</v>
      </c>
      <c r="S8" s="91">
        <v>17</v>
      </c>
      <c r="T8" s="91">
        <v>18</v>
      </c>
      <c r="U8" s="91">
        <v>19</v>
      </c>
      <c r="V8" s="91">
        <v>20</v>
      </c>
      <c r="W8" s="91">
        <v>21</v>
      </c>
      <c r="X8" s="91">
        <v>22</v>
      </c>
      <c r="Y8" s="91">
        <v>23</v>
      </c>
      <c r="Z8" s="91">
        <v>24</v>
      </c>
      <c r="AA8" s="91">
        <v>25</v>
      </c>
      <c r="AB8" s="91">
        <v>26</v>
      </c>
      <c r="AC8" s="91">
        <v>27</v>
      </c>
      <c r="AD8" s="91">
        <v>28</v>
      </c>
      <c r="AE8" s="91">
        <v>29</v>
      </c>
      <c r="AF8" s="91">
        <v>30</v>
      </c>
      <c r="AG8" s="92">
        <v>31</v>
      </c>
      <c r="AH8" s="210" t="s">
        <v>8</v>
      </c>
      <c r="AI8" s="212" t="s">
        <v>37</v>
      </c>
      <c r="AJ8" s="214" t="s">
        <v>36</v>
      </c>
      <c r="AK8" s="223" t="s">
        <v>60</v>
      </c>
      <c r="AL8" s="35"/>
      <c r="AM8" s="35"/>
      <c r="AN8" s="35"/>
      <c r="AO8" s="35"/>
    </row>
    <row r="9" spans="1:41" s="17" customFormat="1" ht="13.5" thickBot="1" x14ac:dyDescent="0.25">
      <c r="A9" s="205"/>
      <c r="B9" s="207"/>
      <c r="C9" s="208" t="s">
        <v>31</v>
      </c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209"/>
      <c r="AH9" s="211"/>
      <c r="AI9" s="213"/>
      <c r="AJ9" s="215"/>
      <c r="AK9" s="224"/>
      <c r="AL9" s="35"/>
      <c r="AM9" s="35"/>
      <c r="AN9" s="35"/>
      <c r="AO9" s="35"/>
    </row>
    <row r="10" spans="1:41" s="17" customFormat="1" ht="13.5" thickBot="1" x14ac:dyDescent="0.25">
      <c r="A10" s="59"/>
      <c r="B10" s="77" t="s">
        <v>7</v>
      </c>
      <c r="C10" s="116"/>
      <c r="D10" s="93"/>
      <c r="E10" s="93"/>
      <c r="F10" s="93"/>
      <c r="G10" s="93"/>
      <c r="H10" s="93"/>
      <c r="I10" s="73"/>
      <c r="J10" s="73"/>
      <c r="K10" s="93"/>
      <c r="L10" s="93"/>
      <c r="M10" s="93" t="s">
        <v>51</v>
      </c>
      <c r="N10" s="93"/>
      <c r="O10" s="93"/>
      <c r="P10" s="73"/>
      <c r="Q10" s="73"/>
      <c r="R10" s="93"/>
      <c r="S10" s="93"/>
      <c r="T10" s="93"/>
      <c r="U10" s="93"/>
      <c r="V10" s="93"/>
      <c r="W10" s="73"/>
      <c r="X10" s="73"/>
      <c r="Y10" s="93"/>
      <c r="Z10" s="93"/>
      <c r="AA10" s="93"/>
      <c r="AB10" s="93"/>
      <c r="AC10" s="93"/>
      <c r="AD10" s="73"/>
      <c r="AE10" s="73"/>
      <c r="AF10" s="93"/>
      <c r="AG10" s="94"/>
      <c r="AH10" s="95"/>
      <c r="AI10" s="96"/>
      <c r="AJ10" s="216"/>
      <c r="AK10" s="222"/>
      <c r="AL10" s="65"/>
      <c r="AM10" s="68"/>
      <c r="AN10" s="65"/>
      <c r="AO10" s="65"/>
    </row>
    <row r="11" spans="1:41" s="17" customFormat="1" x14ac:dyDescent="0.2">
      <c r="A11" s="79">
        <v>1</v>
      </c>
      <c r="B11" s="80" t="s">
        <v>10</v>
      </c>
      <c r="C11" s="117"/>
      <c r="D11" s="91"/>
      <c r="E11" s="91"/>
      <c r="F11" s="91"/>
      <c r="G11" s="91"/>
      <c r="H11" s="91"/>
      <c r="I11" s="31"/>
      <c r="J11" s="31"/>
      <c r="K11" s="91"/>
      <c r="L11" s="91"/>
      <c r="M11" s="137"/>
      <c r="N11" s="91" t="s">
        <v>48</v>
      </c>
      <c r="O11" s="91"/>
      <c r="P11" s="31"/>
      <c r="Q11" s="31"/>
      <c r="R11" s="91"/>
      <c r="S11" s="97"/>
      <c r="T11" s="91"/>
      <c r="U11" s="91"/>
      <c r="V11" s="91"/>
      <c r="W11" s="31"/>
      <c r="X11" s="31"/>
      <c r="Y11" s="91"/>
      <c r="Z11" s="91"/>
      <c r="AA11" s="91"/>
      <c r="AB11" s="91"/>
      <c r="AC11" s="91"/>
      <c r="AD11" s="31"/>
      <c r="AE11" s="31"/>
      <c r="AF11" s="91"/>
      <c r="AG11" s="92"/>
      <c r="AH11" s="98"/>
      <c r="AI11" s="99"/>
      <c r="AJ11" s="217"/>
      <c r="AK11" s="64"/>
      <c r="AL11" s="65"/>
      <c r="AM11" s="65"/>
      <c r="AN11" s="65"/>
      <c r="AO11" s="69"/>
    </row>
    <row r="12" spans="1:41" s="17" customFormat="1" x14ac:dyDescent="0.2">
      <c r="A12" s="88"/>
      <c r="B12" s="81" t="s">
        <v>42</v>
      </c>
      <c r="C12" s="118"/>
      <c r="D12" s="140"/>
      <c r="E12" s="140">
        <v>1</v>
      </c>
      <c r="F12" s="140"/>
      <c r="G12" s="140">
        <v>1</v>
      </c>
      <c r="H12" s="140">
        <v>1</v>
      </c>
      <c r="I12" s="141">
        <v>1</v>
      </c>
      <c r="J12" s="141"/>
      <c r="K12" s="140">
        <v>1</v>
      </c>
      <c r="L12" s="140"/>
      <c r="M12" s="142"/>
      <c r="N12" s="140"/>
      <c r="O12" s="140">
        <v>1</v>
      </c>
      <c r="P12" s="141">
        <v>2</v>
      </c>
      <c r="Q12" s="141"/>
      <c r="R12" s="140"/>
      <c r="S12" s="140"/>
      <c r="T12" s="140"/>
      <c r="U12" s="140"/>
      <c r="V12" s="140">
        <v>1</v>
      </c>
      <c r="W12" s="141">
        <v>1</v>
      </c>
      <c r="X12" s="141"/>
      <c r="Y12" s="140">
        <v>1</v>
      </c>
      <c r="Z12" s="140"/>
      <c r="AA12" s="140">
        <v>1</v>
      </c>
      <c r="AB12" s="140">
        <v>1</v>
      </c>
      <c r="AC12" s="140">
        <v>1</v>
      </c>
      <c r="AD12" s="141">
        <v>2</v>
      </c>
      <c r="AE12" s="141"/>
      <c r="AF12" s="140">
        <v>1</v>
      </c>
      <c r="AG12" s="143"/>
      <c r="AH12" s="101"/>
      <c r="AI12" s="102"/>
      <c r="AJ12" s="218"/>
      <c r="AK12" s="64"/>
      <c r="AL12" s="65"/>
      <c r="AM12" s="65"/>
      <c r="AN12" s="65"/>
      <c r="AO12" s="69"/>
    </row>
    <row r="13" spans="1:41" s="17" customFormat="1" x14ac:dyDescent="0.2">
      <c r="A13" s="70"/>
      <c r="B13" s="71" t="s">
        <v>33</v>
      </c>
      <c r="C13" s="118"/>
      <c r="D13" s="140">
        <v>8</v>
      </c>
      <c r="E13" s="140">
        <v>9</v>
      </c>
      <c r="F13" s="140">
        <v>9</v>
      </c>
      <c r="G13" s="140">
        <v>10</v>
      </c>
      <c r="H13" s="140">
        <v>8</v>
      </c>
      <c r="I13" s="141">
        <v>8</v>
      </c>
      <c r="J13" s="141"/>
      <c r="K13" s="140">
        <v>8</v>
      </c>
      <c r="L13" s="140">
        <v>12</v>
      </c>
      <c r="M13" s="142">
        <v>4</v>
      </c>
      <c r="N13" s="140"/>
      <c r="O13" s="140">
        <v>20</v>
      </c>
      <c r="P13" s="141">
        <v>14</v>
      </c>
      <c r="Q13" s="141"/>
      <c r="R13" s="140">
        <v>8</v>
      </c>
      <c r="S13" s="140">
        <v>8</v>
      </c>
      <c r="T13" s="140">
        <v>8</v>
      </c>
      <c r="U13" s="140">
        <v>8</v>
      </c>
      <c r="V13" s="140">
        <v>8</v>
      </c>
      <c r="W13" s="141">
        <v>8</v>
      </c>
      <c r="X13" s="141"/>
      <c r="Y13" s="140">
        <v>8</v>
      </c>
      <c r="Z13" s="140">
        <v>8</v>
      </c>
      <c r="AA13" s="140">
        <v>8</v>
      </c>
      <c r="AB13" s="140">
        <v>14</v>
      </c>
      <c r="AC13" s="140">
        <v>8</v>
      </c>
      <c r="AD13" s="141">
        <v>8</v>
      </c>
      <c r="AE13" s="141"/>
      <c r="AF13" s="140">
        <v>14</v>
      </c>
      <c r="AG13" s="143"/>
      <c r="AH13" s="101">
        <f>SUM(C13:AG13)</f>
        <v>226</v>
      </c>
      <c r="AI13" s="102"/>
      <c r="AJ13" s="219">
        <v>90400</v>
      </c>
      <c r="AK13" s="64"/>
      <c r="AL13" s="65"/>
      <c r="AM13" s="65"/>
      <c r="AN13" s="65"/>
      <c r="AO13" s="69"/>
    </row>
    <row r="14" spans="1:41" s="17" customFormat="1" x14ac:dyDescent="0.2">
      <c r="A14" s="70"/>
      <c r="B14" s="53" t="s">
        <v>34</v>
      </c>
      <c r="C14" s="118"/>
      <c r="D14" s="140"/>
      <c r="E14" s="140"/>
      <c r="F14" s="140"/>
      <c r="G14" s="140"/>
      <c r="H14" s="140"/>
      <c r="I14" s="141"/>
      <c r="J14" s="141"/>
      <c r="K14" s="140"/>
      <c r="L14" s="140"/>
      <c r="M14" s="142"/>
      <c r="N14" s="140"/>
      <c r="O14" s="140"/>
      <c r="P14" s="141"/>
      <c r="Q14" s="141"/>
      <c r="R14" s="140"/>
      <c r="S14" s="140"/>
      <c r="T14" s="140"/>
      <c r="U14" s="142"/>
      <c r="V14" s="140"/>
      <c r="W14" s="141"/>
      <c r="X14" s="141"/>
      <c r="Y14" s="140"/>
      <c r="Z14" s="140"/>
      <c r="AA14" s="140"/>
      <c r="AB14" s="140"/>
      <c r="AC14" s="140"/>
      <c r="AD14" s="141"/>
      <c r="AE14" s="141"/>
      <c r="AF14" s="140"/>
      <c r="AG14" s="143"/>
      <c r="AH14" s="101"/>
      <c r="AI14" s="102"/>
      <c r="AJ14" s="219"/>
      <c r="AK14" s="64"/>
      <c r="AL14" s="65"/>
      <c r="AM14" s="65"/>
      <c r="AN14" s="65"/>
      <c r="AO14" s="69"/>
    </row>
    <row r="15" spans="1:41" s="17" customFormat="1" x14ac:dyDescent="0.2">
      <c r="A15" s="70"/>
      <c r="B15" s="53" t="s">
        <v>35</v>
      </c>
      <c r="C15" s="118"/>
      <c r="D15" s="140"/>
      <c r="E15" s="140">
        <v>2</v>
      </c>
      <c r="F15" s="140">
        <v>4</v>
      </c>
      <c r="G15" s="140">
        <v>3</v>
      </c>
      <c r="H15" s="140">
        <v>2</v>
      </c>
      <c r="I15" s="141"/>
      <c r="J15" s="141"/>
      <c r="K15" s="140">
        <v>1</v>
      </c>
      <c r="L15" s="140">
        <v>3</v>
      </c>
      <c r="M15" s="142"/>
      <c r="N15" s="140"/>
      <c r="O15" s="140">
        <v>5</v>
      </c>
      <c r="P15" s="141">
        <v>4</v>
      </c>
      <c r="Q15" s="141"/>
      <c r="R15" s="140">
        <v>4</v>
      </c>
      <c r="S15" s="140">
        <v>4</v>
      </c>
      <c r="T15" s="140">
        <v>4</v>
      </c>
      <c r="U15" s="140">
        <v>4</v>
      </c>
      <c r="V15" s="140">
        <v>4</v>
      </c>
      <c r="W15" s="141">
        <v>2</v>
      </c>
      <c r="X15" s="141"/>
      <c r="Y15" s="140">
        <v>2</v>
      </c>
      <c r="Z15" s="140">
        <v>3</v>
      </c>
      <c r="AA15" s="140">
        <v>4</v>
      </c>
      <c r="AB15" s="140">
        <v>4</v>
      </c>
      <c r="AC15" s="140">
        <v>4</v>
      </c>
      <c r="AD15" s="141">
        <v>4</v>
      </c>
      <c r="AE15" s="141"/>
      <c r="AF15" s="140">
        <v>4</v>
      </c>
      <c r="AG15" s="143"/>
      <c r="AH15" s="101"/>
      <c r="AI15" s="102">
        <v>71</v>
      </c>
      <c r="AJ15" s="219">
        <v>56800</v>
      </c>
      <c r="AK15" s="64"/>
      <c r="AL15" s="65"/>
      <c r="AM15" s="65"/>
      <c r="AN15" s="65"/>
      <c r="AO15" s="69"/>
    </row>
    <row r="16" spans="1:41" s="17" customFormat="1" ht="13.5" thickBot="1" x14ac:dyDescent="0.25">
      <c r="A16" s="74"/>
      <c r="B16" s="75" t="s">
        <v>45</v>
      </c>
      <c r="C16" s="119"/>
      <c r="D16" s="144"/>
      <c r="E16" s="144"/>
      <c r="F16" s="144"/>
      <c r="G16" s="144" t="s">
        <v>44</v>
      </c>
      <c r="H16" s="144"/>
      <c r="I16" s="145"/>
      <c r="J16" s="145"/>
      <c r="K16" s="144"/>
      <c r="L16" s="144"/>
      <c r="M16" s="146"/>
      <c r="N16" s="144"/>
      <c r="O16" s="144"/>
      <c r="P16" s="145"/>
      <c r="Q16" s="145"/>
      <c r="R16" s="144"/>
      <c r="S16" s="144"/>
      <c r="T16" s="144"/>
      <c r="U16" s="144"/>
      <c r="V16" s="144"/>
      <c r="W16" s="145"/>
      <c r="X16" s="145"/>
      <c r="Y16" s="144"/>
      <c r="Z16" s="144"/>
      <c r="AA16" s="144"/>
      <c r="AB16" s="144"/>
      <c r="AC16" s="144"/>
      <c r="AD16" s="145"/>
      <c r="AE16" s="145"/>
      <c r="AF16" s="144">
        <v>2</v>
      </c>
      <c r="AG16" s="147"/>
      <c r="AH16" s="103"/>
      <c r="AI16" s="104">
        <v>6</v>
      </c>
      <c r="AJ16" s="220"/>
      <c r="AK16" s="64" t="s">
        <v>61</v>
      </c>
      <c r="AL16" s="65"/>
      <c r="AM16" s="65"/>
      <c r="AN16" s="65"/>
      <c r="AO16" s="69"/>
    </row>
    <row r="17" spans="1:44" s="17" customFormat="1" ht="14.25" customHeight="1" x14ac:dyDescent="0.2">
      <c r="A17" s="79">
        <v>2</v>
      </c>
      <c r="B17" s="139" t="s">
        <v>41</v>
      </c>
      <c r="C17" s="117"/>
      <c r="D17" s="148"/>
      <c r="E17" s="148"/>
      <c r="F17" s="148"/>
      <c r="G17" s="148"/>
      <c r="H17" s="148"/>
      <c r="I17" s="149"/>
      <c r="J17" s="150"/>
      <c r="K17" s="148"/>
      <c r="L17" s="148"/>
      <c r="M17" s="151"/>
      <c r="N17" s="148"/>
      <c r="O17" s="148"/>
      <c r="P17" s="150"/>
      <c r="Q17" s="150"/>
      <c r="R17" s="148"/>
      <c r="S17" s="148"/>
      <c r="T17" s="148"/>
      <c r="U17" s="148"/>
      <c r="V17" s="148"/>
      <c r="W17" s="150"/>
      <c r="X17" s="150"/>
      <c r="Y17" s="148"/>
      <c r="Z17" s="148"/>
      <c r="AA17" s="148"/>
      <c r="AB17" s="148"/>
      <c r="AC17" s="148"/>
      <c r="AD17" s="150"/>
      <c r="AE17" s="150"/>
      <c r="AF17" s="148"/>
      <c r="AG17" s="152"/>
      <c r="AH17" s="98"/>
      <c r="AI17" s="99"/>
      <c r="AJ17" s="217"/>
      <c r="AK17" s="64"/>
      <c r="AL17" s="65"/>
      <c r="AM17" s="65"/>
      <c r="AN17" s="65"/>
      <c r="AO17" s="69"/>
    </row>
    <row r="18" spans="1:44" s="17" customFormat="1" ht="14.25" customHeight="1" x14ac:dyDescent="0.2">
      <c r="A18" s="88"/>
      <c r="B18" s="81" t="s">
        <v>42</v>
      </c>
      <c r="C18" s="118"/>
      <c r="D18" s="140"/>
      <c r="E18" s="140">
        <v>1</v>
      </c>
      <c r="F18" s="140"/>
      <c r="G18" s="140">
        <v>1</v>
      </c>
      <c r="H18" s="140"/>
      <c r="I18" s="153"/>
      <c r="J18" s="141"/>
      <c r="K18" s="140"/>
      <c r="L18" s="140">
        <v>1</v>
      </c>
      <c r="M18" s="142"/>
      <c r="N18" s="140"/>
      <c r="O18" s="140"/>
      <c r="P18" s="141"/>
      <c r="Q18" s="141"/>
      <c r="R18" s="140"/>
      <c r="S18" s="140"/>
      <c r="T18" s="140"/>
      <c r="U18" s="140"/>
      <c r="V18" s="140">
        <v>3</v>
      </c>
      <c r="W18" s="141">
        <v>1</v>
      </c>
      <c r="X18" s="141"/>
      <c r="Y18" s="140">
        <v>1</v>
      </c>
      <c r="Z18" s="140">
        <v>1</v>
      </c>
      <c r="AA18" s="140">
        <v>1</v>
      </c>
      <c r="AB18" s="140"/>
      <c r="AC18" s="140">
        <v>1</v>
      </c>
      <c r="AD18" s="141"/>
      <c r="AE18" s="141"/>
      <c r="AF18" s="140">
        <v>1</v>
      </c>
      <c r="AG18" s="143"/>
      <c r="AH18" s="101"/>
      <c r="AI18" s="102"/>
      <c r="AJ18" s="218"/>
      <c r="AK18" s="64"/>
      <c r="AL18" s="65"/>
      <c r="AM18" s="65"/>
      <c r="AN18" s="65"/>
      <c r="AO18" s="69"/>
    </row>
    <row r="19" spans="1:44" s="17" customFormat="1" ht="14.25" customHeight="1" x14ac:dyDescent="0.2">
      <c r="A19" s="52"/>
      <c r="B19" s="71" t="s">
        <v>33</v>
      </c>
      <c r="C19" s="118"/>
      <c r="D19" s="140">
        <v>8</v>
      </c>
      <c r="E19" s="140">
        <v>8</v>
      </c>
      <c r="F19" s="140">
        <v>6</v>
      </c>
      <c r="G19" s="140">
        <v>5</v>
      </c>
      <c r="H19" s="140">
        <v>6</v>
      </c>
      <c r="I19" s="153">
        <v>8</v>
      </c>
      <c r="J19" s="141"/>
      <c r="K19" s="140">
        <v>8</v>
      </c>
      <c r="L19" s="140">
        <v>12</v>
      </c>
      <c r="M19" s="142">
        <v>4</v>
      </c>
      <c r="N19" s="140">
        <v>12</v>
      </c>
      <c r="O19" s="140">
        <v>20</v>
      </c>
      <c r="P19" s="141">
        <v>14</v>
      </c>
      <c r="Q19" s="141"/>
      <c r="R19" s="140">
        <v>8</v>
      </c>
      <c r="S19" s="140">
        <v>8</v>
      </c>
      <c r="T19" s="140">
        <v>8</v>
      </c>
      <c r="U19" s="140">
        <v>8</v>
      </c>
      <c r="V19" s="140">
        <v>8</v>
      </c>
      <c r="W19" s="141">
        <v>3</v>
      </c>
      <c r="X19" s="141"/>
      <c r="Y19" s="140">
        <v>8</v>
      </c>
      <c r="Z19" s="140">
        <v>8</v>
      </c>
      <c r="AA19" s="140">
        <v>8</v>
      </c>
      <c r="AB19" s="140">
        <v>14</v>
      </c>
      <c r="AC19" s="140">
        <v>8</v>
      </c>
      <c r="AD19" s="141">
        <v>8</v>
      </c>
      <c r="AE19" s="141"/>
      <c r="AF19" s="140">
        <v>14</v>
      </c>
      <c r="AG19" s="143"/>
      <c r="AH19" s="101">
        <f>SUM(C19:AG19)</f>
        <v>222</v>
      </c>
      <c r="AI19" s="102"/>
      <c r="AJ19" s="219">
        <v>88800</v>
      </c>
      <c r="AK19" s="64"/>
      <c r="AL19" s="65"/>
      <c r="AM19" s="65"/>
      <c r="AN19" s="65"/>
      <c r="AO19" s="69"/>
    </row>
    <row r="20" spans="1:44" s="17" customFormat="1" ht="14.25" customHeight="1" x14ac:dyDescent="0.2">
      <c r="A20" s="52"/>
      <c r="B20" s="53" t="s">
        <v>34</v>
      </c>
      <c r="C20" s="118"/>
      <c r="D20" s="140"/>
      <c r="E20" s="140"/>
      <c r="F20" s="140"/>
      <c r="G20" s="140"/>
      <c r="H20" s="140"/>
      <c r="I20" s="153"/>
      <c r="J20" s="141"/>
      <c r="K20" s="140"/>
      <c r="L20" s="140"/>
      <c r="M20" s="142"/>
      <c r="N20" s="140"/>
      <c r="O20" s="140"/>
      <c r="P20" s="141"/>
      <c r="Q20" s="141"/>
      <c r="R20" s="140"/>
      <c r="S20" s="140"/>
      <c r="T20" s="140"/>
      <c r="U20" s="140"/>
      <c r="V20" s="140"/>
      <c r="W20" s="141"/>
      <c r="X20" s="141"/>
      <c r="Y20" s="140"/>
      <c r="Z20" s="140"/>
      <c r="AA20" s="140"/>
      <c r="AB20" s="140"/>
      <c r="AC20" s="140"/>
      <c r="AD20" s="141"/>
      <c r="AE20" s="141"/>
      <c r="AF20" s="140"/>
      <c r="AG20" s="143"/>
      <c r="AH20" s="101"/>
      <c r="AI20" s="102"/>
      <c r="AJ20" s="219"/>
      <c r="AK20" s="64"/>
      <c r="AL20" s="65"/>
      <c r="AM20" s="65"/>
      <c r="AN20" s="65"/>
      <c r="AO20" s="69"/>
    </row>
    <row r="21" spans="1:44" s="17" customFormat="1" ht="14.25" customHeight="1" x14ac:dyDescent="0.2">
      <c r="A21" s="52"/>
      <c r="B21" s="53" t="s">
        <v>35</v>
      </c>
      <c r="C21" s="118"/>
      <c r="D21" s="140"/>
      <c r="E21" s="140">
        <v>2</v>
      </c>
      <c r="F21" s="140">
        <v>4</v>
      </c>
      <c r="G21" s="140">
        <v>3</v>
      </c>
      <c r="H21" s="140">
        <v>2</v>
      </c>
      <c r="I21" s="153">
        <v>2</v>
      </c>
      <c r="J21" s="141"/>
      <c r="K21" s="140">
        <v>4</v>
      </c>
      <c r="L21" s="140">
        <v>3</v>
      </c>
      <c r="M21" s="142"/>
      <c r="N21" s="140">
        <v>1</v>
      </c>
      <c r="O21" s="140">
        <v>5</v>
      </c>
      <c r="P21" s="141">
        <v>4</v>
      </c>
      <c r="Q21" s="141"/>
      <c r="R21" s="140">
        <v>4</v>
      </c>
      <c r="S21" s="140">
        <v>4</v>
      </c>
      <c r="T21" s="140">
        <v>4</v>
      </c>
      <c r="U21" s="140">
        <v>4</v>
      </c>
      <c r="V21" s="140">
        <v>4</v>
      </c>
      <c r="W21" s="141">
        <v>2</v>
      </c>
      <c r="X21" s="141"/>
      <c r="Y21" s="140">
        <v>4</v>
      </c>
      <c r="Z21" s="140">
        <v>3</v>
      </c>
      <c r="AA21" s="140">
        <v>4</v>
      </c>
      <c r="AB21" s="140">
        <v>3</v>
      </c>
      <c r="AC21" s="140">
        <v>4</v>
      </c>
      <c r="AD21" s="141">
        <v>3</v>
      </c>
      <c r="AE21" s="141"/>
      <c r="AF21" s="140">
        <v>2</v>
      </c>
      <c r="AG21" s="143"/>
      <c r="AH21" s="101"/>
      <c r="AI21" s="102">
        <v>75</v>
      </c>
      <c r="AJ21" s="219">
        <v>60000</v>
      </c>
      <c r="AK21" s="64"/>
      <c r="AL21" s="65"/>
      <c r="AM21" s="65"/>
      <c r="AN21" s="65"/>
      <c r="AO21" s="69"/>
    </row>
    <row r="22" spans="1:44" s="17" customFormat="1" ht="14.25" customHeight="1" thickBot="1" x14ac:dyDescent="0.25">
      <c r="A22" s="54"/>
      <c r="B22" s="75" t="s">
        <v>45</v>
      </c>
      <c r="C22" s="119"/>
      <c r="D22" s="144"/>
      <c r="E22" s="144"/>
      <c r="F22" s="144"/>
      <c r="G22" s="144"/>
      <c r="H22" s="144"/>
      <c r="I22" s="154"/>
      <c r="J22" s="145"/>
      <c r="K22" s="144"/>
      <c r="L22" s="144"/>
      <c r="M22" s="146"/>
      <c r="N22" s="144"/>
      <c r="O22" s="144"/>
      <c r="P22" s="145"/>
      <c r="Q22" s="145"/>
      <c r="R22" s="144"/>
      <c r="S22" s="144"/>
      <c r="T22" s="144"/>
      <c r="U22" s="144"/>
      <c r="V22" s="144"/>
      <c r="W22" s="145"/>
      <c r="X22" s="145"/>
      <c r="Y22" s="144"/>
      <c r="Z22" s="144"/>
      <c r="AA22" s="144"/>
      <c r="AB22" s="144"/>
      <c r="AC22" s="144"/>
      <c r="AD22" s="145"/>
      <c r="AE22" s="145"/>
      <c r="AF22" s="144"/>
      <c r="AG22" s="147"/>
      <c r="AH22" s="95"/>
      <c r="AI22" s="96"/>
      <c r="AJ22" s="221"/>
      <c r="AK22" s="64" t="s">
        <v>62</v>
      </c>
      <c r="AL22" s="65"/>
      <c r="AM22" s="65"/>
      <c r="AN22" s="65"/>
      <c r="AO22" s="69"/>
    </row>
    <row r="23" spans="1:44" s="17" customFormat="1" x14ac:dyDescent="0.2">
      <c r="A23" s="82">
        <v>4</v>
      </c>
      <c r="B23" s="138" t="s">
        <v>21</v>
      </c>
      <c r="C23" s="118"/>
      <c r="D23" s="140"/>
      <c r="E23" s="140"/>
      <c r="F23" s="140"/>
      <c r="G23" s="140"/>
      <c r="H23" s="140"/>
      <c r="I23" s="141"/>
      <c r="J23" s="141"/>
      <c r="K23" s="140"/>
      <c r="L23" s="140"/>
      <c r="M23" s="142"/>
      <c r="N23" s="140"/>
      <c r="O23" s="140"/>
      <c r="P23" s="141"/>
      <c r="Q23" s="141"/>
      <c r="R23" s="140"/>
      <c r="S23" s="140"/>
      <c r="T23" s="140"/>
      <c r="U23" s="140"/>
      <c r="V23" s="140"/>
      <c r="W23" s="141"/>
      <c r="X23" s="141"/>
      <c r="Y23" s="140"/>
      <c r="Z23" s="140"/>
      <c r="AA23" s="140"/>
      <c r="AB23" s="140"/>
      <c r="AC23" s="140"/>
      <c r="AD23" s="141"/>
      <c r="AE23" s="141"/>
      <c r="AF23" s="140"/>
      <c r="AG23" s="143"/>
      <c r="AH23" s="105"/>
      <c r="AI23" s="99"/>
      <c r="AJ23" s="218"/>
      <c r="AK23" s="64"/>
      <c r="AL23" s="65"/>
      <c r="AM23" s="65"/>
      <c r="AN23" s="65"/>
      <c r="AO23" s="69"/>
    </row>
    <row r="24" spans="1:44" s="17" customFormat="1" x14ac:dyDescent="0.2">
      <c r="A24" s="82"/>
      <c r="B24" s="81" t="s">
        <v>42</v>
      </c>
      <c r="C24" s="118"/>
      <c r="D24" s="140"/>
      <c r="E24" s="140"/>
      <c r="F24" s="140"/>
      <c r="G24" s="140"/>
      <c r="H24" s="140"/>
      <c r="I24" s="141"/>
      <c r="J24" s="141"/>
      <c r="K24" s="140"/>
      <c r="L24" s="140"/>
      <c r="M24" s="142"/>
      <c r="N24" s="140"/>
      <c r="O24" s="140"/>
      <c r="P24" s="141"/>
      <c r="Q24" s="141"/>
      <c r="R24" s="140"/>
      <c r="S24" s="140"/>
      <c r="T24" s="140"/>
      <c r="U24" s="140"/>
      <c r="V24" s="140"/>
      <c r="W24" s="141"/>
      <c r="X24" s="141"/>
      <c r="Y24" s="140">
        <v>1</v>
      </c>
      <c r="Z24" s="140"/>
      <c r="AA24" s="140"/>
      <c r="AB24" s="140">
        <v>1</v>
      </c>
      <c r="AC24" s="140">
        <v>1</v>
      </c>
      <c r="AD24" s="141"/>
      <c r="AE24" s="141"/>
      <c r="AF24" s="140"/>
      <c r="AG24" s="143"/>
      <c r="AH24" s="101"/>
      <c r="AI24" s="102"/>
      <c r="AJ24" s="218"/>
      <c r="AK24" s="64"/>
      <c r="AL24" s="65"/>
      <c r="AM24" s="65"/>
      <c r="AN24" s="65"/>
      <c r="AO24" s="69"/>
    </row>
    <row r="25" spans="1:44" s="17" customFormat="1" x14ac:dyDescent="0.2">
      <c r="A25" s="76"/>
      <c r="B25" s="53" t="s">
        <v>33</v>
      </c>
      <c r="C25" s="120"/>
      <c r="D25" s="155">
        <v>9</v>
      </c>
      <c r="E25" s="155">
        <v>8</v>
      </c>
      <c r="F25" s="155">
        <v>9</v>
      </c>
      <c r="G25" s="155">
        <v>10</v>
      </c>
      <c r="H25" s="155">
        <v>8</v>
      </c>
      <c r="I25" s="156">
        <v>8</v>
      </c>
      <c r="J25" s="156"/>
      <c r="K25" s="155">
        <v>8</v>
      </c>
      <c r="L25" s="155">
        <v>12</v>
      </c>
      <c r="M25" s="157">
        <v>4</v>
      </c>
      <c r="N25" s="155">
        <v>16</v>
      </c>
      <c r="O25" s="155">
        <v>20</v>
      </c>
      <c r="P25" s="156">
        <v>16</v>
      </c>
      <c r="Q25" s="156"/>
      <c r="R25" s="155">
        <v>9</v>
      </c>
      <c r="S25" s="155">
        <v>9</v>
      </c>
      <c r="T25" s="155">
        <v>9</v>
      </c>
      <c r="U25" s="155">
        <v>10</v>
      </c>
      <c r="V25" s="155">
        <v>8</v>
      </c>
      <c r="W25" s="156">
        <v>8</v>
      </c>
      <c r="X25" s="156"/>
      <c r="Y25" s="155">
        <v>8</v>
      </c>
      <c r="Z25" s="155">
        <v>8</v>
      </c>
      <c r="AA25" s="155">
        <v>8</v>
      </c>
      <c r="AB25" s="155">
        <v>14</v>
      </c>
      <c r="AC25" s="155">
        <v>8</v>
      </c>
      <c r="AD25" s="156">
        <v>8</v>
      </c>
      <c r="AE25" s="156"/>
      <c r="AF25" s="155">
        <v>14</v>
      </c>
      <c r="AG25" s="158"/>
      <c r="AH25" s="101">
        <f>SUM(C25:AG25)</f>
        <v>249</v>
      </c>
      <c r="AI25" s="108"/>
      <c r="AJ25" s="219">
        <v>99600</v>
      </c>
      <c r="AK25" s="64"/>
      <c r="AL25" s="65"/>
      <c r="AM25" s="65"/>
      <c r="AN25" s="65"/>
      <c r="AO25" s="69"/>
      <c r="AR25" s="25"/>
    </row>
    <row r="26" spans="1:44" s="17" customFormat="1" x14ac:dyDescent="0.2">
      <c r="A26" s="76"/>
      <c r="B26" s="53" t="s">
        <v>34</v>
      </c>
      <c r="C26" s="120"/>
      <c r="D26" s="155"/>
      <c r="E26" s="155"/>
      <c r="F26" s="155"/>
      <c r="G26" s="155"/>
      <c r="H26" s="155"/>
      <c r="I26" s="156"/>
      <c r="J26" s="156"/>
      <c r="K26" s="155"/>
      <c r="L26" s="155"/>
      <c r="M26" s="157"/>
      <c r="N26" s="155"/>
      <c r="O26" s="155"/>
      <c r="P26" s="156"/>
      <c r="Q26" s="156"/>
      <c r="R26" s="155"/>
      <c r="S26" s="155"/>
      <c r="T26" s="155"/>
      <c r="U26" s="155"/>
      <c r="V26" s="155"/>
      <c r="W26" s="156"/>
      <c r="X26" s="156"/>
      <c r="Y26" s="155"/>
      <c r="Z26" s="155"/>
      <c r="AA26" s="155"/>
      <c r="AB26" s="155"/>
      <c r="AC26" s="155"/>
      <c r="AD26" s="156"/>
      <c r="AE26" s="156"/>
      <c r="AF26" s="155"/>
      <c r="AG26" s="158"/>
      <c r="AH26" s="109"/>
      <c r="AI26" s="108"/>
      <c r="AJ26" s="219"/>
      <c r="AK26" s="64"/>
      <c r="AL26" s="65"/>
      <c r="AM26" s="65"/>
      <c r="AN26" s="65"/>
      <c r="AO26" s="69"/>
      <c r="AR26" s="25"/>
    </row>
    <row r="27" spans="1:44" s="17" customFormat="1" x14ac:dyDescent="0.2">
      <c r="A27" s="76"/>
      <c r="B27" s="53" t="s">
        <v>35</v>
      </c>
      <c r="C27" s="120"/>
      <c r="D27" s="155"/>
      <c r="E27" s="155">
        <v>2</v>
      </c>
      <c r="F27" s="155">
        <v>4</v>
      </c>
      <c r="G27" s="155">
        <v>3</v>
      </c>
      <c r="H27" s="155">
        <v>1</v>
      </c>
      <c r="I27" s="156"/>
      <c r="J27" s="156"/>
      <c r="K27" s="155">
        <v>3</v>
      </c>
      <c r="L27" s="155">
        <v>3</v>
      </c>
      <c r="M27" s="157"/>
      <c r="N27" s="155">
        <v>2</v>
      </c>
      <c r="O27" s="155">
        <v>5</v>
      </c>
      <c r="P27" s="156">
        <v>4</v>
      </c>
      <c r="Q27" s="156"/>
      <c r="R27" s="155">
        <v>4</v>
      </c>
      <c r="S27" s="155">
        <v>3</v>
      </c>
      <c r="T27" s="155">
        <v>4</v>
      </c>
      <c r="U27" s="155">
        <v>3</v>
      </c>
      <c r="V27" s="155">
        <v>4</v>
      </c>
      <c r="W27" s="156">
        <v>2</v>
      </c>
      <c r="X27" s="156"/>
      <c r="Y27" s="155">
        <v>4</v>
      </c>
      <c r="Z27" s="155">
        <v>4</v>
      </c>
      <c r="AA27" s="155">
        <v>4</v>
      </c>
      <c r="AB27" s="155">
        <v>4</v>
      </c>
      <c r="AC27" s="155">
        <v>4</v>
      </c>
      <c r="AD27" s="156">
        <v>3</v>
      </c>
      <c r="AE27" s="156"/>
      <c r="AF27" s="155">
        <v>2</v>
      </c>
      <c r="AG27" s="158"/>
      <c r="AH27" s="109"/>
      <c r="AI27" s="108">
        <v>72</v>
      </c>
      <c r="AJ27" s="219">
        <v>57800</v>
      </c>
      <c r="AK27" s="64"/>
      <c r="AL27" s="65"/>
      <c r="AM27" s="65"/>
      <c r="AN27" s="65"/>
      <c r="AO27" s="69"/>
      <c r="AR27" s="25"/>
    </row>
    <row r="28" spans="1:44" s="17" customFormat="1" ht="13.5" thickBot="1" x14ac:dyDescent="0.25">
      <c r="A28" s="72"/>
      <c r="B28" s="78" t="s">
        <v>45</v>
      </c>
      <c r="C28" s="116"/>
      <c r="D28" s="159"/>
      <c r="E28" s="159"/>
      <c r="F28" s="159"/>
      <c r="G28" s="159" t="s">
        <v>44</v>
      </c>
      <c r="H28" s="159"/>
      <c r="I28" s="160"/>
      <c r="J28" s="160"/>
      <c r="K28" s="159"/>
      <c r="L28" s="159"/>
      <c r="M28" s="161"/>
      <c r="N28" s="159"/>
      <c r="O28" s="159"/>
      <c r="P28" s="160"/>
      <c r="Q28" s="160"/>
      <c r="R28" s="159"/>
      <c r="S28" s="159"/>
      <c r="T28" s="159"/>
      <c r="U28" s="159"/>
      <c r="V28" s="159"/>
      <c r="W28" s="160"/>
      <c r="X28" s="160"/>
      <c r="Y28" s="159"/>
      <c r="Z28" s="159"/>
      <c r="AA28" s="159"/>
      <c r="AB28" s="159"/>
      <c r="AC28" s="159"/>
      <c r="AD28" s="160"/>
      <c r="AE28" s="160"/>
      <c r="AF28" s="159"/>
      <c r="AG28" s="162"/>
      <c r="AH28" s="110"/>
      <c r="AI28" s="111"/>
      <c r="AJ28" s="221"/>
      <c r="AK28" s="64" t="s">
        <v>63</v>
      </c>
      <c r="AL28" s="65"/>
      <c r="AM28" s="65"/>
      <c r="AN28" s="65"/>
      <c r="AO28" s="69"/>
      <c r="AR28" s="25"/>
    </row>
    <row r="29" spans="1:44" s="17" customFormat="1" x14ac:dyDescent="0.2">
      <c r="A29" s="79">
        <v>3</v>
      </c>
      <c r="B29" s="80" t="s">
        <v>39</v>
      </c>
      <c r="C29" s="117"/>
      <c r="D29" s="148"/>
      <c r="E29" s="148"/>
      <c r="F29" s="148"/>
      <c r="G29" s="148"/>
      <c r="H29" s="148"/>
      <c r="I29" s="150"/>
      <c r="J29" s="150"/>
      <c r="K29" s="148"/>
      <c r="L29" s="148"/>
      <c r="M29" s="151"/>
      <c r="N29" s="148"/>
      <c r="O29" s="148"/>
      <c r="P29" s="150"/>
      <c r="Q29" s="150"/>
      <c r="R29" s="148"/>
      <c r="S29" s="148"/>
      <c r="T29" s="148"/>
      <c r="U29" s="148"/>
      <c r="V29" s="148"/>
      <c r="W29" s="150"/>
      <c r="X29" s="150"/>
      <c r="Y29" s="148"/>
      <c r="Z29" s="148"/>
      <c r="AA29" s="148"/>
      <c r="AB29" s="148"/>
      <c r="AC29" s="148"/>
      <c r="AD29" s="150"/>
      <c r="AE29" s="150"/>
      <c r="AF29" s="148"/>
      <c r="AG29" s="152"/>
      <c r="AH29" s="98"/>
      <c r="AI29" s="99"/>
      <c r="AJ29" s="218"/>
      <c r="AK29" s="64"/>
      <c r="AL29" s="65"/>
      <c r="AM29" s="65"/>
      <c r="AN29" s="65"/>
      <c r="AO29" s="69"/>
      <c r="AR29" s="25"/>
    </row>
    <row r="30" spans="1:44" s="17" customFormat="1" x14ac:dyDescent="0.2">
      <c r="A30" s="89"/>
      <c r="B30" s="81" t="s">
        <v>42</v>
      </c>
      <c r="C30" s="121"/>
      <c r="D30" s="163"/>
      <c r="E30" s="163">
        <v>2</v>
      </c>
      <c r="F30" s="163"/>
      <c r="G30" s="163">
        <v>1</v>
      </c>
      <c r="H30" s="163"/>
      <c r="I30" s="164">
        <v>1</v>
      </c>
      <c r="J30" s="164"/>
      <c r="K30" s="163">
        <v>1</v>
      </c>
      <c r="L30" s="163">
        <v>2</v>
      </c>
      <c r="M30" s="165"/>
      <c r="N30" s="163">
        <v>2</v>
      </c>
      <c r="O30" s="163">
        <v>2</v>
      </c>
      <c r="P30" s="164"/>
      <c r="Q30" s="164"/>
      <c r="R30" s="163"/>
      <c r="S30" s="163">
        <v>1</v>
      </c>
      <c r="T30" s="163"/>
      <c r="U30" s="163"/>
      <c r="V30" s="163"/>
      <c r="W30" s="164"/>
      <c r="X30" s="164"/>
      <c r="Y30" s="163"/>
      <c r="Z30" s="163"/>
      <c r="AA30" s="163"/>
      <c r="AB30" s="163"/>
      <c r="AC30" s="163"/>
      <c r="AD30" s="164"/>
      <c r="AE30" s="164"/>
      <c r="AF30" s="163"/>
      <c r="AG30" s="166"/>
      <c r="AH30" s="101"/>
      <c r="AI30" s="102"/>
      <c r="AJ30" s="218"/>
      <c r="AK30" s="64"/>
      <c r="AL30" s="65"/>
      <c r="AM30" s="65"/>
      <c r="AN30" s="65"/>
      <c r="AO30" s="69"/>
      <c r="AR30" s="25"/>
    </row>
    <row r="31" spans="1:44" s="17" customFormat="1" x14ac:dyDescent="0.2">
      <c r="A31" s="72"/>
      <c r="B31" s="71" t="s">
        <v>33</v>
      </c>
      <c r="C31" s="116">
        <v>5</v>
      </c>
      <c r="D31" s="159">
        <v>8</v>
      </c>
      <c r="E31" s="159">
        <v>8</v>
      </c>
      <c r="F31" s="159">
        <v>9</v>
      </c>
      <c r="G31" s="159">
        <v>20</v>
      </c>
      <c r="H31" s="159">
        <v>2</v>
      </c>
      <c r="I31" s="160">
        <v>10</v>
      </c>
      <c r="J31" s="160"/>
      <c r="K31" s="159">
        <v>8</v>
      </c>
      <c r="L31" s="159">
        <v>12</v>
      </c>
      <c r="M31" s="161">
        <v>4</v>
      </c>
      <c r="N31" s="159">
        <v>12</v>
      </c>
      <c r="O31" s="159">
        <v>20</v>
      </c>
      <c r="P31" s="160">
        <v>14</v>
      </c>
      <c r="Q31" s="160"/>
      <c r="R31" s="159">
        <v>8</v>
      </c>
      <c r="S31" s="159">
        <v>8</v>
      </c>
      <c r="T31" s="159">
        <v>8</v>
      </c>
      <c r="U31" s="159">
        <v>10</v>
      </c>
      <c r="V31" s="159">
        <v>3</v>
      </c>
      <c r="W31" s="160">
        <v>8</v>
      </c>
      <c r="X31" s="160"/>
      <c r="Y31" s="159">
        <v>8</v>
      </c>
      <c r="Z31" s="159">
        <v>8</v>
      </c>
      <c r="AA31" s="159">
        <v>8</v>
      </c>
      <c r="AB31" s="159">
        <v>14</v>
      </c>
      <c r="AC31" s="159">
        <v>8</v>
      </c>
      <c r="AD31" s="160">
        <v>8</v>
      </c>
      <c r="AE31" s="160"/>
      <c r="AF31" s="159">
        <v>12</v>
      </c>
      <c r="AG31" s="162"/>
      <c r="AH31" s="101">
        <f>SUM(C31:AG31)</f>
        <v>243</v>
      </c>
      <c r="AI31" s="108"/>
      <c r="AJ31" s="219">
        <v>97200</v>
      </c>
      <c r="AK31" s="64"/>
      <c r="AL31" s="65"/>
      <c r="AM31" s="65"/>
      <c r="AN31" s="65"/>
      <c r="AO31" s="69"/>
      <c r="AR31" s="25"/>
    </row>
    <row r="32" spans="1:44" s="17" customFormat="1" x14ac:dyDescent="0.2">
      <c r="A32" s="72"/>
      <c r="B32" s="53" t="s">
        <v>34</v>
      </c>
      <c r="C32" s="116"/>
      <c r="D32" s="159"/>
      <c r="E32" s="159"/>
      <c r="F32" s="159"/>
      <c r="G32" s="159"/>
      <c r="H32" s="159"/>
      <c r="I32" s="160"/>
      <c r="J32" s="160"/>
      <c r="K32" s="159"/>
      <c r="L32" s="159"/>
      <c r="M32" s="161"/>
      <c r="N32" s="159"/>
      <c r="O32" s="159"/>
      <c r="P32" s="160"/>
      <c r="Q32" s="160"/>
      <c r="R32" s="159"/>
      <c r="S32" s="159"/>
      <c r="T32" s="159"/>
      <c r="U32" s="159"/>
      <c r="V32" s="159"/>
      <c r="W32" s="160"/>
      <c r="X32" s="160"/>
      <c r="Y32" s="159"/>
      <c r="Z32" s="159"/>
      <c r="AA32" s="159"/>
      <c r="AB32" s="159"/>
      <c r="AC32" s="159"/>
      <c r="AD32" s="160"/>
      <c r="AE32" s="160"/>
      <c r="AF32" s="159"/>
      <c r="AG32" s="162"/>
      <c r="AH32" s="112"/>
      <c r="AI32" s="108"/>
      <c r="AJ32" s="219"/>
      <c r="AK32" s="64"/>
      <c r="AL32" s="65"/>
      <c r="AM32" s="65"/>
      <c r="AN32" s="65"/>
      <c r="AO32" s="69"/>
      <c r="AR32" s="25"/>
    </row>
    <row r="33" spans="1:44" s="17" customFormat="1" x14ac:dyDescent="0.2">
      <c r="A33" s="72"/>
      <c r="B33" s="53" t="s">
        <v>35</v>
      </c>
      <c r="C33" s="116"/>
      <c r="D33" s="159"/>
      <c r="E33" s="159">
        <v>2</v>
      </c>
      <c r="F33" s="159">
        <v>4</v>
      </c>
      <c r="G33" s="159">
        <v>3</v>
      </c>
      <c r="H33" s="159">
        <v>3</v>
      </c>
      <c r="I33" s="160"/>
      <c r="J33" s="160"/>
      <c r="K33" s="159">
        <v>3</v>
      </c>
      <c r="L33" s="159">
        <v>3</v>
      </c>
      <c r="M33" s="161"/>
      <c r="N33" s="159">
        <v>2</v>
      </c>
      <c r="O33" s="159">
        <v>5</v>
      </c>
      <c r="P33" s="160">
        <v>4</v>
      </c>
      <c r="Q33" s="160"/>
      <c r="R33" s="159">
        <v>3</v>
      </c>
      <c r="S33" s="159">
        <v>3</v>
      </c>
      <c r="T33" s="159">
        <v>3</v>
      </c>
      <c r="U33" s="159">
        <v>3</v>
      </c>
      <c r="V33" s="159">
        <v>1</v>
      </c>
      <c r="W33" s="160">
        <v>2</v>
      </c>
      <c r="X33" s="160"/>
      <c r="Y33" s="159">
        <v>4</v>
      </c>
      <c r="Z33" s="159">
        <v>4</v>
      </c>
      <c r="AA33" s="159">
        <v>3</v>
      </c>
      <c r="AB33" s="159">
        <v>3</v>
      </c>
      <c r="AC33" s="159">
        <v>2</v>
      </c>
      <c r="AD33" s="160">
        <v>3</v>
      </c>
      <c r="AE33" s="160"/>
      <c r="AF33" s="159">
        <v>2</v>
      </c>
      <c r="AG33" s="162"/>
      <c r="AH33" s="112"/>
      <c r="AI33" s="108">
        <v>65</v>
      </c>
      <c r="AJ33" s="219">
        <v>52000</v>
      </c>
      <c r="AK33" s="64"/>
      <c r="AL33" s="65"/>
      <c r="AM33" s="65"/>
      <c r="AN33" s="65"/>
      <c r="AO33" s="69"/>
      <c r="AR33" s="25"/>
    </row>
    <row r="34" spans="1:44" s="17" customFormat="1" ht="13.5" thickBot="1" x14ac:dyDescent="0.25">
      <c r="A34" s="54"/>
      <c r="B34" s="75" t="s">
        <v>45</v>
      </c>
      <c r="C34" s="122"/>
      <c r="D34" s="167"/>
      <c r="E34" s="167"/>
      <c r="F34" s="167"/>
      <c r="G34" s="167"/>
      <c r="H34" s="167"/>
      <c r="I34" s="168"/>
      <c r="J34" s="168"/>
      <c r="K34" s="167"/>
      <c r="L34" s="167"/>
      <c r="M34" s="169"/>
      <c r="N34" s="167"/>
      <c r="O34" s="167"/>
      <c r="P34" s="168"/>
      <c r="Q34" s="168"/>
      <c r="R34" s="167"/>
      <c r="S34" s="167"/>
      <c r="T34" s="167"/>
      <c r="U34" s="167"/>
      <c r="V34" s="167">
        <v>4</v>
      </c>
      <c r="W34" s="168"/>
      <c r="X34" s="168"/>
      <c r="Y34" s="167"/>
      <c r="Z34" s="167"/>
      <c r="AA34" s="167"/>
      <c r="AB34" s="167"/>
      <c r="AC34" s="167"/>
      <c r="AD34" s="168"/>
      <c r="AE34" s="168"/>
      <c r="AF34" s="167"/>
      <c r="AG34" s="170"/>
      <c r="AH34" s="115"/>
      <c r="AI34" s="111">
        <v>4</v>
      </c>
      <c r="AJ34" s="221"/>
      <c r="AK34" s="64" t="s">
        <v>64</v>
      </c>
      <c r="AL34" s="65"/>
      <c r="AM34" s="65"/>
      <c r="AN34" s="65"/>
      <c r="AO34" s="69"/>
      <c r="AR34" s="25"/>
    </row>
    <row r="35" spans="1:44" s="17" customFormat="1" x14ac:dyDescent="0.2">
      <c r="A35" s="24"/>
      <c r="B35" s="87" t="s">
        <v>32</v>
      </c>
      <c r="C35" s="87">
        <v>3800</v>
      </c>
      <c r="D35" s="87"/>
      <c r="E35" s="87"/>
      <c r="F35" s="87"/>
      <c r="G35" s="87"/>
      <c r="H35" s="87"/>
      <c r="I35" s="87"/>
      <c r="J35" s="8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84"/>
      <c r="AL35" s="85"/>
      <c r="AM35" s="83"/>
      <c r="AN35" s="83"/>
      <c r="AO35" s="83"/>
    </row>
    <row r="36" spans="1:44" x14ac:dyDescent="0.2">
      <c r="B36" s="18"/>
      <c r="AF36" s="9"/>
      <c r="AG36" s="9"/>
      <c r="AH36" s="9"/>
      <c r="AI36" s="9"/>
      <c r="AJ36" s="9"/>
      <c r="AK36" s="21"/>
      <c r="AL36" s="66"/>
    </row>
    <row r="37" spans="1:44" x14ac:dyDescent="0.2">
      <c r="B37" s="179" t="s">
        <v>57</v>
      </c>
      <c r="C37" s="180">
        <v>1</v>
      </c>
      <c r="D37" s="180">
        <v>2</v>
      </c>
      <c r="E37" s="180">
        <v>3</v>
      </c>
      <c r="F37" s="180">
        <v>4</v>
      </c>
      <c r="G37" s="180">
        <v>5</v>
      </c>
      <c r="H37" s="180">
        <v>6</v>
      </c>
      <c r="I37" s="180">
        <v>7</v>
      </c>
      <c r="J37" s="135"/>
      <c r="K37" s="7"/>
      <c r="L37" s="181"/>
      <c r="M37" s="181"/>
      <c r="N37" s="181"/>
      <c r="O37" s="181"/>
      <c r="P37" s="181"/>
      <c r="Q37" s="181"/>
      <c r="R37" s="181"/>
      <c r="S37" s="18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6"/>
      <c r="AN37" s="16"/>
      <c r="AO37" s="16"/>
    </row>
    <row r="38" spans="1:44" x14ac:dyDescent="0.2">
      <c r="B38" s="182" t="s">
        <v>58</v>
      </c>
      <c r="C38" s="182">
        <v>800</v>
      </c>
      <c r="D38" s="182">
        <v>800</v>
      </c>
      <c r="E38" s="182">
        <v>800</v>
      </c>
      <c r="F38" s="182">
        <v>800</v>
      </c>
      <c r="G38" s="182">
        <v>1000</v>
      </c>
      <c r="H38" s="182">
        <v>1500</v>
      </c>
      <c r="I38" s="182">
        <v>1500</v>
      </c>
      <c r="J38" s="183"/>
      <c r="AF38" s="24"/>
      <c r="AG38" s="24"/>
      <c r="AH38" s="24"/>
      <c r="AI38" s="24"/>
      <c r="AJ38" s="24"/>
      <c r="AK38" s="24"/>
      <c r="AL38" s="24"/>
      <c r="AM38" s="16"/>
      <c r="AN38" s="16"/>
      <c r="AO38" s="16"/>
    </row>
    <row r="39" spans="1:44" x14ac:dyDescent="0.2">
      <c r="B39" s="182" t="s">
        <v>32</v>
      </c>
      <c r="C39" s="182">
        <v>3800</v>
      </c>
      <c r="D39" s="182">
        <v>3800</v>
      </c>
      <c r="E39" s="182"/>
      <c r="F39" s="182"/>
      <c r="G39" s="182"/>
      <c r="H39" s="182"/>
      <c r="I39" s="182"/>
      <c r="J39" s="18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16"/>
      <c r="AN39" s="16"/>
      <c r="AO39" s="16"/>
    </row>
    <row r="40" spans="1:44" x14ac:dyDescent="0.2">
      <c r="B40" s="185" t="s">
        <v>42</v>
      </c>
      <c r="C40" s="185">
        <v>200</v>
      </c>
      <c r="J40" s="183"/>
      <c r="AK40" s="16"/>
      <c r="AL40" s="16"/>
      <c r="AM40" s="16"/>
      <c r="AN40" s="16"/>
      <c r="AO40" s="16"/>
    </row>
    <row r="41" spans="1:44" x14ac:dyDescent="0.2">
      <c r="B41" s="186" t="s">
        <v>45</v>
      </c>
      <c r="C41" s="186" t="s">
        <v>59</v>
      </c>
      <c r="D41" s="186"/>
      <c r="AK41" s="16"/>
      <c r="AL41" s="16"/>
      <c r="AM41" s="16"/>
      <c r="AN41" s="16"/>
      <c r="AO41" s="16"/>
    </row>
    <row r="42" spans="1:44" x14ac:dyDescent="0.2">
      <c r="A42" s="26"/>
      <c r="B42" s="19"/>
      <c r="C42" s="4"/>
      <c r="D42" s="4"/>
      <c r="E42" s="4"/>
      <c r="F42" s="4"/>
      <c r="G42" s="4"/>
      <c r="H42" s="4"/>
      <c r="I42" s="4"/>
      <c r="J42" s="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44" x14ac:dyDescent="0.2">
      <c r="A43" s="26"/>
      <c r="B43" s="6" t="s">
        <v>56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44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44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44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44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44" s="23" customFormat="1" x14ac:dyDescent="0.2">
      <c r="A48" s="24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L48" s="67"/>
      <c r="AM48" s="67"/>
      <c r="AN48" s="67"/>
      <c r="AO48" s="67"/>
      <c r="AP48" s="16"/>
      <c r="AQ48" s="16"/>
      <c r="AR48" s="16"/>
    </row>
    <row r="49" spans="1:44" s="23" customFormat="1" x14ac:dyDescent="0.2">
      <c r="A49" s="24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L49" s="67"/>
      <c r="AM49" s="67"/>
      <c r="AN49" s="67"/>
      <c r="AO49" s="67"/>
      <c r="AP49" s="16"/>
      <c r="AQ49" s="16"/>
      <c r="AR49" s="16"/>
    </row>
    <row r="50" spans="1:44" s="23" customFormat="1" x14ac:dyDescent="0.2">
      <c r="A50" s="24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L50" s="67"/>
      <c r="AM50" s="67"/>
      <c r="AN50" s="67"/>
      <c r="AO50" s="67"/>
      <c r="AP50" s="16"/>
      <c r="AQ50" s="16"/>
      <c r="AR50" s="16"/>
    </row>
    <row r="51" spans="1:44" s="23" customFormat="1" x14ac:dyDescent="0.2">
      <c r="A51" s="24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L51" s="67"/>
      <c r="AM51" s="67"/>
      <c r="AN51" s="67"/>
      <c r="AO51" s="67"/>
      <c r="AP51" s="16"/>
      <c r="AQ51" s="16"/>
      <c r="AR51" s="16"/>
    </row>
    <row r="52" spans="1:44" s="23" customFormat="1" x14ac:dyDescent="0.2">
      <c r="A52" s="24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L52" s="67"/>
      <c r="AM52" s="67"/>
      <c r="AN52" s="67"/>
      <c r="AO52" s="67"/>
      <c r="AP52" s="16"/>
      <c r="AQ52" s="16"/>
      <c r="AR52" s="16"/>
    </row>
    <row r="53" spans="1:44" s="23" customFormat="1" x14ac:dyDescent="0.2">
      <c r="A53" s="2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L53" s="67"/>
      <c r="AM53" s="67"/>
      <c r="AN53" s="67"/>
      <c r="AO53" s="67"/>
      <c r="AP53" s="16"/>
      <c r="AQ53" s="16"/>
      <c r="AR53" s="16"/>
    </row>
    <row r="54" spans="1:44" s="23" customFormat="1" x14ac:dyDescent="0.2">
      <c r="A54" s="2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L54" s="67"/>
      <c r="AM54" s="67"/>
      <c r="AN54" s="67"/>
      <c r="AO54" s="67"/>
      <c r="AP54" s="16"/>
      <c r="AQ54" s="16"/>
      <c r="AR54" s="16"/>
    </row>
    <row r="55" spans="1:44" s="23" customFormat="1" x14ac:dyDescent="0.2">
      <c r="A55" s="2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L55" s="67"/>
      <c r="AM55" s="67"/>
      <c r="AN55" s="67"/>
      <c r="AO55" s="67"/>
      <c r="AP55" s="16"/>
      <c r="AQ55" s="16"/>
      <c r="AR55" s="16"/>
    </row>
    <row r="56" spans="1:44" s="23" customFormat="1" x14ac:dyDescent="0.2">
      <c r="A56" s="2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L56" s="67"/>
      <c r="AM56" s="67"/>
      <c r="AN56" s="67"/>
      <c r="AO56" s="67"/>
      <c r="AP56" s="16"/>
      <c r="AQ56" s="16"/>
      <c r="AR56" s="16"/>
    </row>
    <row r="57" spans="1:44" s="23" customFormat="1" x14ac:dyDescent="0.2">
      <c r="A57" s="2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L57" s="67"/>
      <c r="AM57" s="67"/>
      <c r="AN57" s="67"/>
      <c r="AO57" s="67"/>
      <c r="AP57" s="16"/>
      <c r="AQ57" s="16"/>
      <c r="AR57" s="16"/>
    </row>
    <row r="58" spans="1:44" s="23" customFormat="1" x14ac:dyDescent="0.2">
      <c r="A58" s="2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L58" s="67"/>
      <c r="AM58" s="67"/>
      <c r="AN58" s="67"/>
      <c r="AO58" s="67"/>
      <c r="AP58" s="16"/>
      <c r="AQ58" s="16"/>
      <c r="AR58" s="16"/>
    </row>
    <row r="59" spans="1:44" s="23" customFormat="1" x14ac:dyDescent="0.2">
      <c r="A59" s="2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L59" s="67"/>
      <c r="AM59" s="67"/>
      <c r="AN59" s="67"/>
      <c r="AO59" s="67"/>
      <c r="AP59" s="16"/>
      <c r="AQ59" s="16"/>
      <c r="AR59" s="16"/>
    </row>
    <row r="60" spans="1:44" s="23" customFormat="1" x14ac:dyDescent="0.2">
      <c r="A60" s="2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L60" s="67"/>
      <c r="AM60" s="67"/>
      <c r="AN60" s="67"/>
      <c r="AO60" s="67"/>
      <c r="AP60" s="16"/>
      <c r="AQ60" s="16"/>
      <c r="AR60" s="16"/>
    </row>
    <row r="61" spans="1:44" s="23" customFormat="1" x14ac:dyDescent="0.2">
      <c r="A61" s="2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L61" s="67"/>
      <c r="AM61" s="67"/>
      <c r="AN61" s="67"/>
      <c r="AO61" s="67"/>
      <c r="AP61" s="16"/>
      <c r="AQ61" s="16"/>
      <c r="AR61" s="16"/>
    </row>
    <row r="62" spans="1:44" s="23" customFormat="1" x14ac:dyDescent="0.2">
      <c r="A62" s="2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L62" s="67"/>
      <c r="AM62" s="67"/>
      <c r="AN62" s="67"/>
      <c r="AO62" s="67"/>
      <c r="AP62" s="16"/>
      <c r="AQ62" s="16"/>
      <c r="AR62" s="16"/>
    </row>
    <row r="63" spans="1:44" s="23" customFormat="1" x14ac:dyDescent="0.2">
      <c r="A63" s="2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L63" s="67"/>
      <c r="AM63" s="67"/>
      <c r="AN63" s="67"/>
      <c r="AO63" s="67"/>
      <c r="AP63" s="16"/>
      <c r="AQ63" s="16"/>
      <c r="AR63" s="16"/>
    </row>
    <row r="64" spans="1:44" s="23" customFormat="1" x14ac:dyDescent="0.2">
      <c r="A64" s="2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L64" s="67"/>
      <c r="AM64" s="67"/>
      <c r="AN64" s="67"/>
      <c r="AO64" s="67"/>
      <c r="AP64" s="16"/>
      <c r="AQ64" s="16"/>
      <c r="AR64" s="16"/>
    </row>
    <row r="65" spans="1:44" s="23" customFormat="1" x14ac:dyDescent="0.2">
      <c r="A65" s="2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L65" s="67"/>
      <c r="AM65" s="67"/>
      <c r="AN65" s="67"/>
      <c r="AO65" s="67"/>
      <c r="AP65" s="16"/>
      <c r="AQ65" s="16"/>
      <c r="AR65" s="16"/>
    </row>
    <row r="66" spans="1:44" s="23" customFormat="1" x14ac:dyDescent="0.2">
      <c r="A66" s="2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L66" s="67"/>
      <c r="AM66" s="67"/>
      <c r="AN66" s="67"/>
      <c r="AO66" s="67"/>
      <c r="AP66" s="16"/>
      <c r="AQ66" s="16"/>
      <c r="AR66" s="16"/>
    </row>
    <row r="67" spans="1:44" s="23" customFormat="1" x14ac:dyDescent="0.2">
      <c r="A67" s="2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L67" s="67"/>
      <c r="AM67" s="67"/>
      <c r="AN67" s="67"/>
      <c r="AO67" s="67"/>
      <c r="AP67" s="16"/>
      <c r="AQ67" s="16"/>
      <c r="AR67" s="16"/>
    </row>
    <row r="68" spans="1:44" s="23" customFormat="1" x14ac:dyDescent="0.2">
      <c r="A68" s="2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L68" s="67"/>
      <c r="AM68" s="67"/>
      <c r="AN68" s="67"/>
      <c r="AO68" s="67"/>
      <c r="AP68" s="16"/>
      <c r="AQ68" s="16"/>
      <c r="AR68" s="16"/>
    </row>
    <row r="69" spans="1:44" s="23" customFormat="1" x14ac:dyDescent="0.2">
      <c r="A69" s="2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L69" s="67"/>
      <c r="AM69" s="67"/>
      <c r="AN69" s="67"/>
      <c r="AO69" s="67"/>
      <c r="AP69" s="16"/>
      <c r="AQ69" s="16"/>
      <c r="AR69" s="16"/>
    </row>
    <row r="70" spans="1:44" s="23" customFormat="1" x14ac:dyDescent="0.2">
      <c r="A70" s="2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L70" s="67"/>
      <c r="AM70" s="67"/>
      <c r="AN70" s="67"/>
      <c r="AO70" s="67"/>
      <c r="AP70" s="16"/>
      <c r="AQ70" s="16"/>
      <c r="AR70" s="16"/>
    </row>
    <row r="71" spans="1:44" s="23" customFormat="1" x14ac:dyDescent="0.2">
      <c r="A71" s="2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L71" s="67"/>
      <c r="AM71" s="67"/>
      <c r="AN71" s="67"/>
      <c r="AO71" s="67"/>
      <c r="AP71" s="16"/>
      <c r="AQ71" s="16"/>
      <c r="AR71" s="16"/>
    </row>
    <row r="72" spans="1:44" s="23" customFormat="1" x14ac:dyDescent="0.2">
      <c r="A72" s="2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L72" s="67"/>
      <c r="AM72" s="67"/>
      <c r="AN72" s="67"/>
      <c r="AO72" s="67"/>
      <c r="AP72" s="16"/>
      <c r="AQ72" s="16"/>
      <c r="AR72" s="16"/>
    </row>
    <row r="73" spans="1:44" s="23" customFormat="1" x14ac:dyDescent="0.2">
      <c r="A73" s="2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L73" s="67"/>
      <c r="AM73" s="67"/>
      <c r="AN73" s="67"/>
      <c r="AO73" s="67"/>
      <c r="AP73" s="16"/>
      <c r="AQ73" s="16"/>
      <c r="AR73" s="16"/>
    </row>
    <row r="74" spans="1:44" s="23" customFormat="1" x14ac:dyDescent="0.2">
      <c r="A74" s="2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L74" s="67"/>
      <c r="AM74" s="67"/>
      <c r="AN74" s="67"/>
      <c r="AO74" s="67"/>
      <c r="AP74" s="16"/>
      <c r="AQ74" s="16"/>
      <c r="AR74" s="16"/>
    </row>
    <row r="75" spans="1:44" s="23" customFormat="1" x14ac:dyDescent="0.2">
      <c r="A75" s="2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L75" s="67"/>
      <c r="AM75" s="67"/>
      <c r="AN75" s="67"/>
      <c r="AO75" s="67"/>
      <c r="AP75" s="16"/>
      <c r="AQ75" s="16"/>
      <c r="AR75" s="16"/>
    </row>
    <row r="76" spans="1:44" s="23" customFormat="1" x14ac:dyDescent="0.2">
      <c r="A76" s="2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L76" s="67"/>
      <c r="AM76" s="67"/>
      <c r="AN76" s="67"/>
      <c r="AO76" s="67"/>
      <c r="AP76" s="16"/>
      <c r="AQ76" s="16"/>
      <c r="AR76" s="16"/>
    </row>
    <row r="77" spans="1:44" s="23" customFormat="1" x14ac:dyDescent="0.2">
      <c r="A77" s="2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L77" s="67"/>
      <c r="AM77" s="67"/>
      <c r="AN77" s="67"/>
      <c r="AO77" s="67"/>
      <c r="AP77" s="16"/>
      <c r="AQ77" s="16"/>
      <c r="AR77" s="16"/>
    </row>
    <row r="78" spans="1:44" s="23" customFormat="1" x14ac:dyDescent="0.2">
      <c r="A78" s="2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L78" s="67"/>
      <c r="AM78" s="67"/>
      <c r="AN78" s="67"/>
      <c r="AO78" s="67"/>
      <c r="AP78" s="16"/>
      <c r="AQ78" s="16"/>
      <c r="AR78" s="16"/>
    </row>
    <row r="79" spans="1:44" s="23" customFormat="1" x14ac:dyDescent="0.2">
      <c r="A79" s="2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L79" s="67"/>
      <c r="AM79" s="67"/>
      <c r="AN79" s="67"/>
      <c r="AO79" s="67"/>
      <c r="AP79" s="16"/>
      <c r="AQ79" s="16"/>
      <c r="AR79" s="16"/>
    </row>
    <row r="80" spans="1:44" s="23" customFormat="1" x14ac:dyDescent="0.2">
      <c r="A80" s="2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L80" s="67"/>
      <c r="AM80" s="67"/>
      <c r="AN80" s="67"/>
      <c r="AO80" s="67"/>
      <c r="AP80" s="16"/>
      <c r="AQ80" s="16"/>
      <c r="AR80" s="16"/>
    </row>
    <row r="81" spans="1:44" s="23" customFormat="1" x14ac:dyDescent="0.2">
      <c r="A81" s="2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L81" s="67"/>
      <c r="AM81" s="67"/>
      <c r="AN81" s="67"/>
      <c r="AO81" s="67"/>
      <c r="AP81" s="16"/>
      <c r="AQ81" s="16"/>
      <c r="AR81" s="16"/>
    </row>
    <row r="82" spans="1:44" s="23" customFormat="1" x14ac:dyDescent="0.2">
      <c r="A82" s="2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L82" s="67"/>
      <c r="AM82" s="67"/>
      <c r="AN82" s="67"/>
      <c r="AO82" s="67"/>
      <c r="AP82" s="16"/>
      <c r="AQ82" s="16"/>
      <c r="AR82" s="16"/>
    </row>
    <row r="83" spans="1:44" s="23" customFormat="1" x14ac:dyDescent="0.2">
      <c r="A83" s="2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L83" s="67"/>
      <c r="AM83" s="67"/>
      <c r="AN83" s="67"/>
      <c r="AO83" s="67"/>
      <c r="AP83" s="16"/>
      <c r="AQ83" s="16"/>
      <c r="AR83" s="16"/>
    </row>
    <row r="84" spans="1:44" s="23" customFormat="1" x14ac:dyDescent="0.2">
      <c r="A84" s="2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L84" s="67"/>
      <c r="AM84" s="67"/>
      <c r="AN84" s="67"/>
      <c r="AO84" s="67"/>
      <c r="AP84" s="16"/>
      <c r="AQ84" s="16"/>
      <c r="AR84" s="16"/>
    </row>
    <row r="85" spans="1:44" s="23" customFormat="1" x14ac:dyDescent="0.2">
      <c r="A85" s="2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L85" s="67"/>
      <c r="AM85" s="67"/>
      <c r="AN85" s="67"/>
      <c r="AO85" s="67"/>
      <c r="AP85" s="16"/>
      <c r="AQ85" s="16"/>
      <c r="AR85" s="16"/>
    </row>
    <row r="86" spans="1:44" s="23" customFormat="1" x14ac:dyDescent="0.2">
      <c r="A86" s="2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L86" s="67"/>
      <c r="AM86" s="67"/>
      <c r="AN86" s="67"/>
      <c r="AO86" s="67"/>
      <c r="AP86" s="16"/>
      <c r="AQ86" s="16"/>
      <c r="AR86" s="16"/>
    </row>
    <row r="87" spans="1:44" s="23" customFormat="1" x14ac:dyDescent="0.2">
      <c r="A87" s="2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L87" s="67"/>
      <c r="AM87" s="67"/>
      <c r="AN87" s="67"/>
      <c r="AO87" s="67"/>
      <c r="AP87" s="16"/>
      <c r="AQ87" s="16"/>
      <c r="AR87" s="16"/>
    </row>
    <row r="88" spans="1:44" s="23" customFormat="1" x14ac:dyDescent="0.2">
      <c r="A88" s="2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L88" s="67"/>
      <c r="AM88" s="67"/>
      <c r="AN88" s="67"/>
      <c r="AO88" s="67"/>
      <c r="AP88" s="16"/>
      <c r="AQ88" s="16"/>
      <c r="AR88" s="16"/>
    </row>
    <row r="89" spans="1:44" s="23" customFormat="1" x14ac:dyDescent="0.2">
      <c r="A89" s="2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L89" s="67"/>
      <c r="AM89" s="67"/>
      <c r="AN89" s="67"/>
      <c r="AO89" s="67"/>
      <c r="AP89" s="16"/>
      <c r="AQ89" s="16"/>
      <c r="AR89" s="16"/>
    </row>
    <row r="90" spans="1:44" s="23" customFormat="1" x14ac:dyDescent="0.2">
      <c r="A90" s="2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L90" s="67"/>
      <c r="AM90" s="67"/>
      <c r="AN90" s="67"/>
      <c r="AO90" s="67"/>
      <c r="AP90" s="16"/>
      <c r="AQ90" s="16"/>
      <c r="AR90" s="16"/>
    </row>
    <row r="91" spans="1:44" s="23" customFormat="1" x14ac:dyDescent="0.2">
      <c r="A91" s="2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L91" s="67"/>
      <c r="AM91" s="67"/>
      <c r="AN91" s="67"/>
      <c r="AO91" s="67"/>
      <c r="AP91" s="16"/>
      <c r="AQ91" s="16"/>
      <c r="AR91" s="16"/>
    </row>
    <row r="92" spans="1:44" s="23" customFormat="1" x14ac:dyDescent="0.2">
      <c r="A92" s="2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L92" s="67"/>
      <c r="AM92" s="67"/>
      <c r="AN92" s="67"/>
      <c r="AO92" s="67"/>
      <c r="AP92" s="16"/>
      <c r="AQ92" s="16"/>
      <c r="AR92" s="16"/>
    </row>
    <row r="93" spans="1:44" s="23" customFormat="1" x14ac:dyDescent="0.2">
      <c r="A93" s="2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L93" s="67"/>
      <c r="AM93" s="67"/>
      <c r="AN93" s="67"/>
      <c r="AO93" s="67"/>
      <c r="AP93" s="16"/>
      <c r="AQ93" s="16"/>
      <c r="AR93" s="16"/>
    </row>
    <row r="94" spans="1:44" s="23" customFormat="1" x14ac:dyDescent="0.2">
      <c r="A94" s="2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L94" s="67"/>
      <c r="AM94" s="67"/>
      <c r="AN94" s="67"/>
      <c r="AO94" s="67"/>
      <c r="AP94" s="16"/>
      <c r="AQ94" s="16"/>
      <c r="AR94" s="16"/>
    </row>
    <row r="95" spans="1:44" s="23" customFormat="1" x14ac:dyDescent="0.2">
      <c r="A95" s="2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L95" s="67"/>
      <c r="AM95" s="67"/>
      <c r="AN95" s="67"/>
      <c r="AO95" s="67"/>
      <c r="AP95" s="16"/>
      <c r="AQ95" s="16"/>
      <c r="AR95" s="16"/>
    </row>
    <row r="96" spans="1:44" s="23" customFormat="1" x14ac:dyDescent="0.2">
      <c r="A96" s="2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L96" s="67"/>
      <c r="AM96" s="67"/>
      <c r="AN96" s="67"/>
      <c r="AO96" s="67"/>
      <c r="AP96" s="16"/>
      <c r="AQ96" s="16"/>
      <c r="AR96" s="16"/>
    </row>
    <row r="97" spans="1:44" s="23" customFormat="1" x14ac:dyDescent="0.2">
      <c r="A97" s="2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L97" s="67"/>
      <c r="AM97" s="67"/>
      <c r="AN97" s="67"/>
      <c r="AO97" s="67"/>
      <c r="AP97" s="16"/>
      <c r="AQ97" s="16"/>
      <c r="AR97" s="16"/>
    </row>
    <row r="98" spans="1:44" s="23" customFormat="1" x14ac:dyDescent="0.2">
      <c r="A98" s="2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L98" s="67"/>
      <c r="AM98" s="67"/>
      <c r="AN98" s="67"/>
      <c r="AO98" s="67"/>
      <c r="AP98" s="16"/>
      <c r="AQ98" s="16"/>
      <c r="AR98" s="16"/>
    </row>
    <row r="99" spans="1:44" s="23" customFormat="1" x14ac:dyDescent="0.2">
      <c r="A99" s="2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L99" s="67"/>
      <c r="AM99" s="67"/>
      <c r="AN99" s="67"/>
      <c r="AO99" s="67"/>
      <c r="AP99" s="16"/>
      <c r="AQ99" s="16"/>
      <c r="AR99" s="16"/>
    </row>
    <row r="100" spans="1:44" s="23" customFormat="1" x14ac:dyDescent="0.2">
      <c r="A100" s="2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L100" s="67"/>
      <c r="AM100" s="67"/>
      <c r="AN100" s="67"/>
      <c r="AO100" s="67"/>
      <c r="AP100" s="16"/>
      <c r="AQ100" s="16"/>
      <c r="AR100" s="16"/>
    </row>
    <row r="101" spans="1:44" s="23" customFormat="1" x14ac:dyDescent="0.2">
      <c r="A101" s="2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L101" s="67"/>
      <c r="AM101" s="67"/>
      <c r="AN101" s="67"/>
      <c r="AO101" s="67"/>
      <c r="AP101" s="16"/>
      <c r="AQ101" s="16"/>
      <c r="AR101" s="16"/>
    </row>
    <row r="102" spans="1:44" s="23" customFormat="1" x14ac:dyDescent="0.2">
      <c r="A102" s="2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L102" s="67"/>
      <c r="AM102" s="67"/>
      <c r="AN102" s="67"/>
      <c r="AO102" s="67"/>
      <c r="AP102" s="16"/>
      <c r="AQ102" s="16"/>
      <c r="AR102" s="16"/>
    </row>
    <row r="103" spans="1:44" s="23" customFormat="1" x14ac:dyDescent="0.2">
      <c r="A103" s="2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L103" s="67"/>
      <c r="AM103" s="67"/>
      <c r="AN103" s="67"/>
      <c r="AO103" s="67"/>
      <c r="AP103" s="16"/>
      <c r="AQ103" s="16"/>
      <c r="AR103" s="16"/>
    </row>
    <row r="104" spans="1:44" s="23" customFormat="1" x14ac:dyDescent="0.2">
      <c r="A104" s="2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L104" s="67"/>
      <c r="AM104" s="67"/>
      <c r="AN104" s="67"/>
      <c r="AO104" s="67"/>
      <c r="AP104" s="16"/>
      <c r="AQ104" s="16"/>
      <c r="AR104" s="16"/>
    </row>
    <row r="105" spans="1:44" s="23" customFormat="1" x14ac:dyDescent="0.2">
      <c r="A105" s="2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L105" s="67"/>
      <c r="AM105" s="67"/>
      <c r="AN105" s="67"/>
      <c r="AO105" s="67"/>
      <c r="AP105" s="16"/>
      <c r="AQ105" s="16"/>
      <c r="AR105" s="16"/>
    </row>
    <row r="106" spans="1:44" s="23" customFormat="1" x14ac:dyDescent="0.2">
      <c r="A106" s="2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L106" s="67"/>
      <c r="AM106" s="67"/>
      <c r="AN106" s="67"/>
      <c r="AO106" s="67"/>
      <c r="AP106" s="16"/>
      <c r="AQ106" s="16"/>
      <c r="AR106" s="16"/>
    </row>
    <row r="107" spans="1:44" s="23" customFormat="1" x14ac:dyDescent="0.2">
      <c r="A107" s="2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L107" s="67"/>
      <c r="AM107" s="67"/>
      <c r="AN107" s="67"/>
      <c r="AO107" s="67"/>
      <c r="AP107" s="16"/>
      <c r="AQ107" s="16"/>
      <c r="AR107" s="16"/>
    </row>
    <row r="108" spans="1:44" s="23" customFormat="1" x14ac:dyDescent="0.2">
      <c r="A108" s="2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L108" s="67"/>
      <c r="AM108" s="67"/>
      <c r="AN108" s="67"/>
      <c r="AO108" s="67"/>
      <c r="AP108" s="16"/>
      <c r="AQ108" s="16"/>
      <c r="AR108" s="16"/>
    </row>
    <row r="109" spans="1:44" s="23" customFormat="1" x14ac:dyDescent="0.2">
      <c r="A109" s="2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L109" s="67"/>
      <c r="AM109" s="67"/>
      <c r="AN109" s="67"/>
      <c r="AO109" s="67"/>
      <c r="AP109" s="16"/>
      <c r="AQ109" s="16"/>
      <c r="AR109" s="16"/>
    </row>
    <row r="110" spans="1:44" s="23" customFormat="1" x14ac:dyDescent="0.2">
      <c r="A110" s="2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L110" s="67"/>
      <c r="AM110" s="67"/>
      <c r="AN110" s="67"/>
      <c r="AO110" s="67"/>
      <c r="AP110" s="16"/>
      <c r="AQ110" s="16"/>
      <c r="AR110" s="16"/>
    </row>
    <row r="111" spans="1:44" s="23" customFormat="1" x14ac:dyDescent="0.2">
      <c r="A111" s="2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L111" s="67"/>
      <c r="AM111" s="67"/>
      <c r="AN111" s="67"/>
      <c r="AO111" s="67"/>
      <c r="AP111" s="16"/>
      <c r="AQ111" s="16"/>
      <c r="AR111" s="16"/>
    </row>
    <row r="112" spans="1:44" s="23" customFormat="1" x14ac:dyDescent="0.2">
      <c r="A112" s="2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L112" s="67"/>
      <c r="AM112" s="67"/>
      <c r="AN112" s="67"/>
      <c r="AO112" s="67"/>
      <c r="AP112" s="16"/>
      <c r="AQ112" s="16"/>
      <c r="AR112" s="16"/>
    </row>
    <row r="113" spans="1:44" s="23" customFormat="1" x14ac:dyDescent="0.2">
      <c r="A113" s="2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L113" s="67"/>
      <c r="AM113" s="67"/>
      <c r="AN113" s="67"/>
      <c r="AO113" s="67"/>
      <c r="AP113" s="16"/>
      <c r="AQ113" s="16"/>
      <c r="AR113" s="16"/>
    </row>
    <row r="114" spans="1:44" s="23" customFormat="1" x14ac:dyDescent="0.2">
      <c r="A114" s="2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L114" s="67"/>
      <c r="AM114" s="67"/>
      <c r="AN114" s="67"/>
      <c r="AO114" s="67"/>
      <c r="AP114" s="16"/>
      <c r="AQ114" s="16"/>
      <c r="AR114" s="16"/>
    </row>
    <row r="115" spans="1:44" s="23" customFormat="1" x14ac:dyDescent="0.2">
      <c r="A115" s="2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L115" s="67"/>
      <c r="AM115" s="67"/>
      <c r="AN115" s="67"/>
      <c r="AO115" s="67"/>
      <c r="AP115" s="16"/>
      <c r="AQ115" s="16"/>
      <c r="AR115" s="16"/>
    </row>
    <row r="116" spans="1:44" s="23" customFormat="1" x14ac:dyDescent="0.2">
      <c r="A116" s="2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L116" s="67"/>
      <c r="AM116" s="67"/>
      <c r="AN116" s="67"/>
      <c r="AO116" s="67"/>
      <c r="AP116" s="16"/>
      <c r="AQ116" s="16"/>
      <c r="AR116" s="16"/>
    </row>
    <row r="117" spans="1:44" s="23" customFormat="1" x14ac:dyDescent="0.2">
      <c r="A117" s="2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L117" s="67"/>
      <c r="AM117" s="67"/>
      <c r="AN117" s="67"/>
      <c r="AO117" s="67"/>
      <c r="AP117" s="16"/>
      <c r="AQ117" s="16"/>
      <c r="AR117" s="16"/>
    </row>
    <row r="118" spans="1:44" s="23" customFormat="1" x14ac:dyDescent="0.2">
      <c r="A118" s="2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L118" s="67"/>
      <c r="AM118" s="67"/>
      <c r="AN118" s="67"/>
      <c r="AO118" s="67"/>
      <c r="AP118" s="16"/>
      <c r="AQ118" s="16"/>
      <c r="AR118" s="16"/>
    </row>
    <row r="119" spans="1:44" s="23" customFormat="1" x14ac:dyDescent="0.2">
      <c r="A119" s="2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L119" s="67"/>
      <c r="AM119" s="67"/>
      <c r="AN119" s="67"/>
      <c r="AO119" s="67"/>
      <c r="AP119" s="16"/>
      <c r="AQ119" s="16"/>
      <c r="AR119" s="16"/>
    </row>
    <row r="120" spans="1:44" s="23" customFormat="1" x14ac:dyDescent="0.2">
      <c r="A120" s="2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L120" s="67"/>
      <c r="AM120" s="67"/>
      <c r="AN120" s="67"/>
      <c r="AO120" s="67"/>
      <c r="AP120" s="16"/>
      <c r="AQ120" s="16"/>
      <c r="AR120" s="16"/>
    </row>
    <row r="121" spans="1:44" s="23" customFormat="1" x14ac:dyDescent="0.2">
      <c r="A121" s="2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L121" s="67"/>
      <c r="AM121" s="67"/>
      <c r="AN121" s="67"/>
      <c r="AO121" s="67"/>
      <c r="AP121" s="16"/>
      <c r="AQ121" s="16"/>
      <c r="AR121" s="16"/>
    </row>
    <row r="122" spans="1:44" s="23" customFormat="1" x14ac:dyDescent="0.2">
      <c r="A122" s="2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L122" s="67"/>
      <c r="AM122" s="67"/>
      <c r="AN122" s="67"/>
      <c r="AO122" s="67"/>
      <c r="AP122" s="16"/>
      <c r="AQ122" s="16"/>
      <c r="AR122" s="16"/>
    </row>
    <row r="123" spans="1:44" s="23" customFormat="1" x14ac:dyDescent="0.2">
      <c r="A123" s="2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L123" s="67"/>
      <c r="AM123" s="67"/>
      <c r="AN123" s="67"/>
      <c r="AO123" s="67"/>
      <c r="AP123" s="16"/>
      <c r="AQ123" s="16"/>
      <c r="AR123" s="16"/>
    </row>
    <row r="124" spans="1:44" s="23" customFormat="1" x14ac:dyDescent="0.2">
      <c r="A124" s="2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L124" s="67"/>
      <c r="AM124" s="67"/>
      <c r="AN124" s="67"/>
      <c r="AO124" s="67"/>
      <c r="AP124" s="16"/>
      <c r="AQ124" s="16"/>
      <c r="AR124" s="16"/>
    </row>
    <row r="125" spans="1:44" s="23" customFormat="1" x14ac:dyDescent="0.2">
      <c r="A125" s="2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L125" s="67"/>
      <c r="AM125" s="67"/>
      <c r="AN125" s="67"/>
      <c r="AO125" s="67"/>
      <c r="AP125" s="16"/>
      <c r="AQ125" s="16"/>
      <c r="AR125" s="16"/>
    </row>
    <row r="126" spans="1:44" s="23" customFormat="1" x14ac:dyDescent="0.2">
      <c r="A126" s="2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L126" s="67"/>
      <c r="AM126" s="67"/>
      <c r="AN126" s="67"/>
      <c r="AO126" s="67"/>
      <c r="AP126" s="16"/>
      <c r="AQ126" s="16"/>
      <c r="AR126" s="16"/>
    </row>
    <row r="127" spans="1:44" s="23" customFormat="1" x14ac:dyDescent="0.2">
      <c r="A127" s="2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L127" s="67"/>
      <c r="AM127" s="67"/>
      <c r="AN127" s="67"/>
      <c r="AO127" s="67"/>
      <c r="AP127" s="16"/>
      <c r="AQ127" s="16"/>
      <c r="AR127" s="16"/>
    </row>
    <row r="128" spans="1:44" s="23" customFormat="1" x14ac:dyDescent="0.2">
      <c r="A128" s="2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L128" s="67"/>
      <c r="AM128" s="67"/>
      <c r="AN128" s="67"/>
      <c r="AO128" s="67"/>
      <c r="AP128" s="16"/>
      <c r="AQ128" s="16"/>
      <c r="AR128" s="16"/>
    </row>
    <row r="129" spans="1:44" s="23" customFormat="1" x14ac:dyDescent="0.2">
      <c r="A129" s="2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L129" s="67"/>
      <c r="AM129" s="67"/>
      <c r="AN129" s="67"/>
      <c r="AO129" s="67"/>
      <c r="AP129" s="16"/>
      <c r="AQ129" s="16"/>
      <c r="AR129" s="16"/>
    </row>
    <row r="130" spans="1:44" s="23" customFormat="1" x14ac:dyDescent="0.2">
      <c r="A130" s="2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L130" s="67"/>
      <c r="AM130" s="67"/>
      <c r="AN130" s="67"/>
      <c r="AO130" s="67"/>
      <c r="AP130" s="16"/>
      <c r="AQ130" s="16"/>
      <c r="AR130" s="16"/>
    </row>
    <row r="131" spans="1:44" s="23" customFormat="1" x14ac:dyDescent="0.2">
      <c r="A131" s="2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L131" s="67"/>
      <c r="AM131" s="67"/>
      <c r="AN131" s="67"/>
      <c r="AO131" s="67"/>
      <c r="AP131" s="16"/>
      <c r="AQ131" s="16"/>
      <c r="AR131" s="16"/>
    </row>
    <row r="132" spans="1:44" s="23" customFormat="1" x14ac:dyDescent="0.2">
      <c r="A132" s="2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L132" s="67"/>
      <c r="AM132" s="67"/>
      <c r="AN132" s="67"/>
      <c r="AO132" s="67"/>
      <c r="AP132" s="16"/>
      <c r="AQ132" s="16"/>
      <c r="AR132" s="16"/>
    </row>
    <row r="133" spans="1:44" s="23" customFormat="1" x14ac:dyDescent="0.2">
      <c r="A133" s="2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L133" s="67"/>
      <c r="AM133" s="67"/>
      <c r="AN133" s="67"/>
      <c r="AO133" s="67"/>
      <c r="AP133" s="16"/>
      <c r="AQ133" s="16"/>
      <c r="AR133" s="16"/>
    </row>
    <row r="134" spans="1:44" s="23" customFormat="1" x14ac:dyDescent="0.2">
      <c r="A134" s="2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L134" s="67"/>
      <c r="AM134" s="67"/>
      <c r="AN134" s="67"/>
      <c r="AO134" s="67"/>
      <c r="AP134" s="16"/>
      <c r="AQ134" s="16"/>
      <c r="AR134" s="16"/>
    </row>
    <row r="135" spans="1:44" s="23" customFormat="1" x14ac:dyDescent="0.2">
      <c r="A135" s="2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L135" s="67"/>
      <c r="AM135" s="67"/>
      <c r="AN135" s="67"/>
      <c r="AO135" s="67"/>
      <c r="AP135" s="16"/>
      <c r="AQ135" s="16"/>
      <c r="AR135" s="16"/>
    </row>
    <row r="136" spans="1:44" s="23" customFormat="1" x14ac:dyDescent="0.2">
      <c r="A136" s="2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L136" s="67"/>
      <c r="AM136" s="67"/>
      <c r="AN136" s="67"/>
      <c r="AO136" s="67"/>
      <c r="AP136" s="16"/>
      <c r="AQ136" s="16"/>
      <c r="AR136" s="16"/>
    </row>
    <row r="137" spans="1:44" s="23" customFormat="1" x14ac:dyDescent="0.2">
      <c r="A137" s="2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L137" s="67"/>
      <c r="AM137" s="67"/>
      <c r="AN137" s="67"/>
      <c r="AO137" s="67"/>
      <c r="AP137" s="16"/>
      <c r="AQ137" s="16"/>
      <c r="AR137" s="16"/>
    </row>
    <row r="138" spans="1:44" s="23" customFormat="1" x14ac:dyDescent="0.2">
      <c r="A138" s="2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L138" s="67"/>
      <c r="AM138" s="67"/>
      <c r="AN138" s="67"/>
      <c r="AO138" s="67"/>
      <c r="AP138" s="16"/>
      <c r="AQ138" s="16"/>
      <c r="AR138" s="16"/>
    </row>
    <row r="139" spans="1:44" s="23" customFormat="1" x14ac:dyDescent="0.2">
      <c r="A139" s="2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L139" s="67"/>
      <c r="AM139" s="67"/>
      <c r="AN139" s="67"/>
      <c r="AO139" s="67"/>
      <c r="AP139" s="16"/>
      <c r="AQ139" s="16"/>
      <c r="AR139" s="16"/>
    </row>
    <row r="140" spans="1:44" s="23" customFormat="1" x14ac:dyDescent="0.2">
      <c r="A140" s="2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L140" s="67"/>
      <c r="AM140" s="67"/>
      <c r="AN140" s="67"/>
      <c r="AO140" s="67"/>
      <c r="AP140" s="16"/>
      <c r="AQ140" s="16"/>
      <c r="AR140" s="16"/>
    </row>
    <row r="141" spans="1:44" s="23" customFormat="1" x14ac:dyDescent="0.2">
      <c r="A141" s="2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L141" s="67"/>
      <c r="AM141" s="67"/>
      <c r="AN141" s="67"/>
      <c r="AO141" s="67"/>
      <c r="AP141" s="16"/>
      <c r="AQ141" s="16"/>
      <c r="AR141" s="16"/>
    </row>
    <row r="142" spans="1:44" s="23" customFormat="1" x14ac:dyDescent="0.2">
      <c r="A142" s="2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L142" s="67"/>
      <c r="AM142" s="67"/>
      <c r="AN142" s="67"/>
      <c r="AO142" s="67"/>
      <c r="AP142" s="16"/>
      <c r="AQ142" s="16"/>
      <c r="AR142" s="16"/>
    </row>
    <row r="143" spans="1:44" s="23" customFormat="1" x14ac:dyDescent="0.2">
      <c r="A143" s="2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L143" s="67"/>
      <c r="AM143" s="67"/>
      <c r="AN143" s="67"/>
      <c r="AO143" s="67"/>
      <c r="AP143" s="16"/>
      <c r="AQ143" s="16"/>
      <c r="AR143" s="16"/>
    </row>
    <row r="144" spans="1:44" s="23" customFormat="1" x14ac:dyDescent="0.2">
      <c r="A144" s="2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L144" s="67"/>
      <c r="AM144" s="67"/>
      <c r="AN144" s="67"/>
      <c r="AO144" s="67"/>
      <c r="AP144" s="16"/>
      <c r="AQ144" s="16"/>
      <c r="AR144" s="16"/>
    </row>
    <row r="145" spans="1:44" s="23" customFormat="1" x14ac:dyDescent="0.2">
      <c r="A145" s="2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L145" s="67"/>
      <c r="AM145" s="67"/>
      <c r="AN145" s="67"/>
      <c r="AO145" s="67"/>
      <c r="AP145" s="16"/>
      <c r="AQ145" s="16"/>
      <c r="AR145" s="16"/>
    </row>
    <row r="146" spans="1:44" s="23" customFormat="1" x14ac:dyDescent="0.2">
      <c r="A146" s="2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L146" s="67"/>
      <c r="AM146" s="67"/>
      <c r="AN146" s="67"/>
      <c r="AO146" s="67"/>
      <c r="AP146" s="16"/>
      <c r="AQ146" s="16"/>
      <c r="AR146" s="16"/>
    </row>
    <row r="147" spans="1:44" s="23" customFormat="1" x14ac:dyDescent="0.2">
      <c r="A147" s="2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L147" s="67"/>
      <c r="AM147" s="67"/>
      <c r="AN147" s="67"/>
      <c r="AO147" s="67"/>
      <c r="AP147" s="16"/>
      <c r="AQ147" s="16"/>
      <c r="AR147" s="16"/>
    </row>
    <row r="148" spans="1:44" s="23" customFormat="1" x14ac:dyDescent="0.2">
      <c r="A148" s="2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L148" s="67"/>
      <c r="AM148" s="67"/>
      <c r="AN148" s="67"/>
      <c r="AO148" s="67"/>
      <c r="AP148" s="16"/>
      <c r="AQ148" s="16"/>
      <c r="AR148" s="16"/>
    </row>
    <row r="149" spans="1:44" s="23" customFormat="1" x14ac:dyDescent="0.2">
      <c r="A149" s="2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L149" s="67"/>
      <c r="AM149" s="67"/>
      <c r="AN149" s="67"/>
      <c r="AO149" s="67"/>
      <c r="AP149" s="16"/>
      <c r="AQ149" s="16"/>
      <c r="AR149" s="16"/>
    </row>
    <row r="150" spans="1:44" s="23" customFormat="1" x14ac:dyDescent="0.2">
      <c r="A150" s="2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L150" s="67"/>
      <c r="AM150" s="67"/>
      <c r="AN150" s="67"/>
      <c r="AO150" s="67"/>
      <c r="AP150" s="16"/>
      <c r="AQ150" s="16"/>
      <c r="AR150" s="16"/>
    </row>
    <row r="151" spans="1:44" s="23" customFormat="1" x14ac:dyDescent="0.2">
      <c r="A151" s="2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L151" s="67"/>
      <c r="AM151" s="67"/>
      <c r="AN151" s="67"/>
      <c r="AO151" s="67"/>
      <c r="AP151" s="16"/>
      <c r="AQ151" s="16"/>
      <c r="AR151" s="16"/>
    </row>
    <row r="152" spans="1:44" s="23" customFormat="1" x14ac:dyDescent="0.2">
      <c r="A152" s="2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L152" s="67"/>
      <c r="AM152" s="67"/>
      <c r="AN152" s="67"/>
      <c r="AO152" s="67"/>
      <c r="AP152" s="16"/>
      <c r="AQ152" s="16"/>
      <c r="AR152" s="16"/>
    </row>
    <row r="153" spans="1:44" s="23" customFormat="1" x14ac:dyDescent="0.2">
      <c r="A153" s="2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L153" s="67"/>
      <c r="AM153" s="67"/>
      <c r="AN153" s="67"/>
      <c r="AO153" s="67"/>
      <c r="AP153" s="16"/>
      <c r="AQ153" s="16"/>
      <c r="AR153" s="16"/>
    </row>
    <row r="154" spans="1:44" s="23" customFormat="1" x14ac:dyDescent="0.2">
      <c r="A154" s="2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L154" s="67"/>
      <c r="AM154" s="67"/>
      <c r="AN154" s="67"/>
      <c r="AO154" s="67"/>
      <c r="AP154" s="16"/>
      <c r="AQ154" s="16"/>
      <c r="AR154" s="16"/>
    </row>
    <row r="155" spans="1:44" s="23" customFormat="1" x14ac:dyDescent="0.2">
      <c r="A155" s="2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L155" s="67"/>
      <c r="AM155" s="67"/>
      <c r="AN155" s="67"/>
      <c r="AO155" s="67"/>
      <c r="AP155" s="16"/>
      <c r="AQ155" s="16"/>
      <c r="AR155" s="16"/>
    </row>
    <row r="156" spans="1:44" s="23" customFormat="1" x14ac:dyDescent="0.2">
      <c r="A156" s="2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L156" s="67"/>
      <c r="AM156" s="67"/>
      <c r="AN156" s="67"/>
      <c r="AO156" s="67"/>
      <c r="AP156" s="16"/>
      <c r="AQ156" s="16"/>
      <c r="AR156" s="16"/>
    </row>
    <row r="157" spans="1:44" s="23" customFormat="1" x14ac:dyDescent="0.2">
      <c r="A157" s="2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L157" s="67"/>
      <c r="AM157" s="67"/>
      <c r="AN157" s="67"/>
      <c r="AO157" s="67"/>
      <c r="AP157" s="16"/>
      <c r="AQ157" s="16"/>
      <c r="AR157" s="16"/>
    </row>
    <row r="158" spans="1:44" s="23" customFormat="1" x14ac:dyDescent="0.2">
      <c r="A158" s="2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L158" s="67"/>
      <c r="AM158" s="67"/>
      <c r="AN158" s="67"/>
      <c r="AO158" s="67"/>
      <c r="AP158" s="16"/>
      <c r="AQ158" s="16"/>
      <c r="AR158" s="16"/>
    </row>
    <row r="159" spans="1:44" s="23" customFormat="1" x14ac:dyDescent="0.2">
      <c r="A159" s="2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L159" s="67"/>
      <c r="AM159" s="67"/>
      <c r="AN159" s="67"/>
      <c r="AO159" s="67"/>
      <c r="AP159" s="16"/>
      <c r="AQ159" s="16"/>
      <c r="AR159" s="16"/>
    </row>
    <row r="160" spans="1:44" s="23" customFormat="1" x14ac:dyDescent="0.2">
      <c r="A160" s="2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L160" s="67"/>
      <c r="AM160" s="67"/>
      <c r="AN160" s="67"/>
      <c r="AO160" s="67"/>
      <c r="AP160" s="16"/>
      <c r="AQ160" s="16"/>
      <c r="AR160" s="16"/>
    </row>
    <row r="161" spans="1:44" s="23" customFormat="1" x14ac:dyDescent="0.2">
      <c r="A161" s="2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L161" s="67"/>
      <c r="AM161" s="67"/>
      <c r="AN161" s="67"/>
      <c r="AO161" s="67"/>
      <c r="AP161" s="16"/>
      <c r="AQ161" s="16"/>
      <c r="AR161" s="16"/>
    </row>
    <row r="162" spans="1:44" s="23" customFormat="1" x14ac:dyDescent="0.2">
      <c r="A162" s="2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L162" s="67"/>
      <c r="AM162" s="67"/>
      <c r="AN162" s="67"/>
      <c r="AO162" s="67"/>
      <c r="AP162" s="16"/>
      <c r="AQ162" s="16"/>
      <c r="AR162" s="16"/>
    </row>
    <row r="163" spans="1:44" s="23" customFormat="1" x14ac:dyDescent="0.2">
      <c r="A163" s="2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L163" s="67"/>
      <c r="AM163" s="67"/>
      <c r="AN163" s="67"/>
      <c r="AO163" s="67"/>
      <c r="AP163" s="16"/>
      <c r="AQ163" s="16"/>
      <c r="AR163" s="16"/>
    </row>
    <row r="164" spans="1:44" s="23" customFormat="1" x14ac:dyDescent="0.2">
      <c r="A164" s="2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L164" s="67"/>
      <c r="AM164" s="67"/>
      <c r="AN164" s="67"/>
      <c r="AO164" s="67"/>
      <c r="AP164" s="16"/>
      <c r="AQ164" s="16"/>
      <c r="AR164" s="16"/>
    </row>
    <row r="165" spans="1:44" s="23" customFormat="1" x14ac:dyDescent="0.2">
      <c r="A165" s="2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L165" s="67"/>
      <c r="AM165" s="67"/>
      <c r="AN165" s="67"/>
      <c r="AO165" s="67"/>
      <c r="AP165" s="16"/>
      <c r="AQ165" s="16"/>
      <c r="AR165" s="16"/>
    </row>
    <row r="166" spans="1:44" s="23" customFormat="1" x14ac:dyDescent="0.2">
      <c r="A166" s="2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L166" s="67"/>
      <c r="AM166" s="67"/>
      <c r="AN166" s="67"/>
      <c r="AO166" s="67"/>
      <c r="AP166" s="16"/>
      <c r="AQ166" s="16"/>
      <c r="AR166" s="16"/>
    </row>
    <row r="167" spans="1:44" s="23" customFormat="1" x14ac:dyDescent="0.2">
      <c r="A167" s="2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L167" s="67"/>
      <c r="AM167" s="67"/>
      <c r="AN167" s="67"/>
      <c r="AO167" s="67"/>
      <c r="AP167" s="16"/>
      <c r="AQ167" s="16"/>
      <c r="AR167" s="16"/>
    </row>
    <row r="168" spans="1:44" s="23" customFormat="1" x14ac:dyDescent="0.2">
      <c r="A168" s="2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L168" s="67"/>
      <c r="AM168" s="67"/>
      <c r="AN168" s="67"/>
      <c r="AO168" s="67"/>
      <c r="AP168" s="16"/>
      <c r="AQ168" s="16"/>
      <c r="AR168" s="16"/>
    </row>
    <row r="169" spans="1:44" s="23" customFormat="1" x14ac:dyDescent="0.2">
      <c r="A169" s="2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L169" s="67"/>
      <c r="AM169" s="67"/>
      <c r="AN169" s="67"/>
      <c r="AO169" s="67"/>
      <c r="AP169" s="16"/>
      <c r="AQ169" s="16"/>
      <c r="AR169" s="16"/>
    </row>
    <row r="170" spans="1:44" s="23" customFormat="1" x14ac:dyDescent="0.2">
      <c r="A170" s="2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L170" s="67"/>
      <c r="AM170" s="67"/>
      <c r="AN170" s="67"/>
      <c r="AO170" s="67"/>
      <c r="AP170" s="16"/>
      <c r="AQ170" s="16"/>
      <c r="AR170" s="16"/>
    </row>
    <row r="171" spans="1:44" s="23" customFormat="1" x14ac:dyDescent="0.2">
      <c r="A171" s="2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L171" s="67"/>
      <c r="AM171" s="67"/>
      <c r="AN171" s="67"/>
      <c r="AO171" s="67"/>
      <c r="AP171" s="16"/>
      <c r="AQ171" s="16"/>
      <c r="AR171" s="16"/>
    </row>
    <row r="172" spans="1:44" s="23" customFormat="1" x14ac:dyDescent="0.2">
      <c r="A172" s="2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L172" s="67"/>
      <c r="AM172" s="67"/>
      <c r="AN172" s="67"/>
      <c r="AO172" s="67"/>
      <c r="AP172" s="16"/>
      <c r="AQ172" s="16"/>
      <c r="AR172" s="16"/>
    </row>
    <row r="173" spans="1:44" s="23" customFormat="1" x14ac:dyDescent="0.2">
      <c r="A173" s="2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L173" s="67"/>
      <c r="AM173" s="67"/>
      <c r="AN173" s="67"/>
      <c r="AO173" s="67"/>
      <c r="AP173" s="16"/>
      <c r="AQ173" s="16"/>
      <c r="AR173" s="16"/>
    </row>
    <row r="174" spans="1:44" s="23" customFormat="1" x14ac:dyDescent="0.2">
      <c r="A174" s="2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L174" s="67"/>
      <c r="AM174" s="67"/>
      <c r="AN174" s="67"/>
      <c r="AO174" s="67"/>
      <c r="AP174" s="16"/>
      <c r="AQ174" s="16"/>
      <c r="AR174" s="16"/>
    </row>
    <row r="175" spans="1:44" s="23" customFormat="1" x14ac:dyDescent="0.2">
      <c r="A175" s="2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L175" s="67"/>
      <c r="AM175" s="67"/>
      <c r="AN175" s="67"/>
      <c r="AO175" s="67"/>
      <c r="AP175" s="16"/>
      <c r="AQ175" s="16"/>
      <c r="AR175" s="16"/>
    </row>
    <row r="176" spans="1:44" s="23" customFormat="1" x14ac:dyDescent="0.2">
      <c r="A176" s="2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L176" s="67"/>
      <c r="AM176" s="67"/>
      <c r="AN176" s="67"/>
      <c r="AO176" s="67"/>
      <c r="AP176" s="16"/>
      <c r="AQ176" s="16"/>
      <c r="AR176" s="16"/>
    </row>
    <row r="177" spans="1:44" s="23" customFormat="1" x14ac:dyDescent="0.2">
      <c r="A177" s="2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L177" s="67"/>
      <c r="AM177" s="67"/>
      <c r="AN177" s="67"/>
      <c r="AO177" s="67"/>
      <c r="AP177" s="16"/>
      <c r="AQ177" s="16"/>
      <c r="AR177" s="16"/>
    </row>
    <row r="178" spans="1:44" s="23" customFormat="1" x14ac:dyDescent="0.2">
      <c r="A178" s="2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L178" s="67"/>
      <c r="AM178" s="67"/>
      <c r="AN178" s="67"/>
      <c r="AO178" s="67"/>
      <c r="AP178" s="16"/>
      <c r="AQ178" s="16"/>
      <c r="AR178" s="16"/>
    </row>
    <row r="179" spans="1:44" s="23" customFormat="1" x14ac:dyDescent="0.2">
      <c r="A179" s="2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L179" s="67"/>
      <c r="AM179" s="67"/>
      <c r="AN179" s="67"/>
      <c r="AO179" s="67"/>
      <c r="AP179" s="16"/>
      <c r="AQ179" s="16"/>
      <c r="AR179" s="16"/>
    </row>
    <row r="180" spans="1:44" s="23" customFormat="1" x14ac:dyDescent="0.2">
      <c r="A180" s="2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L180" s="67"/>
      <c r="AM180" s="67"/>
      <c r="AN180" s="67"/>
      <c r="AO180" s="67"/>
      <c r="AP180" s="16"/>
      <c r="AQ180" s="16"/>
      <c r="AR180" s="16"/>
    </row>
    <row r="181" spans="1:44" s="23" customFormat="1" x14ac:dyDescent="0.2">
      <c r="A181" s="2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L181" s="67"/>
      <c r="AM181" s="67"/>
      <c r="AN181" s="67"/>
      <c r="AO181" s="67"/>
      <c r="AP181" s="16"/>
      <c r="AQ181" s="16"/>
      <c r="AR181" s="16"/>
    </row>
    <row r="182" spans="1:44" s="23" customFormat="1" x14ac:dyDescent="0.2">
      <c r="A182" s="2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L182" s="67"/>
      <c r="AM182" s="67"/>
      <c r="AN182" s="67"/>
      <c r="AO182" s="67"/>
      <c r="AP182" s="16"/>
      <c r="AQ182" s="16"/>
      <c r="AR182" s="16"/>
    </row>
    <row r="183" spans="1:44" s="23" customFormat="1" x14ac:dyDescent="0.2">
      <c r="A183" s="2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L183" s="67"/>
      <c r="AM183" s="67"/>
      <c r="AN183" s="67"/>
      <c r="AO183" s="67"/>
      <c r="AP183" s="16"/>
      <c r="AQ183" s="16"/>
      <c r="AR183" s="16"/>
    </row>
    <row r="184" spans="1:44" s="23" customFormat="1" x14ac:dyDescent="0.2">
      <c r="A184" s="2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L184" s="67"/>
      <c r="AM184" s="67"/>
      <c r="AN184" s="67"/>
      <c r="AO184" s="67"/>
      <c r="AP184" s="16"/>
      <c r="AQ184" s="16"/>
      <c r="AR184" s="16"/>
    </row>
    <row r="185" spans="1:44" s="23" customFormat="1" x14ac:dyDescent="0.2">
      <c r="A185" s="2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L185" s="67"/>
      <c r="AM185" s="67"/>
      <c r="AN185" s="67"/>
      <c r="AO185" s="67"/>
      <c r="AP185" s="16"/>
      <c r="AQ185" s="16"/>
      <c r="AR185" s="16"/>
    </row>
    <row r="186" spans="1:44" s="23" customFormat="1" x14ac:dyDescent="0.2">
      <c r="A186" s="2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L186" s="67"/>
      <c r="AM186" s="67"/>
      <c r="AN186" s="67"/>
      <c r="AO186" s="67"/>
      <c r="AP186" s="16"/>
      <c r="AQ186" s="16"/>
      <c r="AR186" s="16"/>
    </row>
    <row r="187" spans="1:44" s="23" customFormat="1" x14ac:dyDescent="0.2">
      <c r="A187" s="2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L187" s="67"/>
      <c r="AM187" s="67"/>
      <c r="AN187" s="67"/>
      <c r="AO187" s="67"/>
      <c r="AP187" s="16"/>
      <c r="AQ187" s="16"/>
      <c r="AR187" s="16"/>
    </row>
    <row r="188" spans="1:44" s="23" customFormat="1" x14ac:dyDescent="0.2">
      <c r="A188" s="2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L188" s="67"/>
      <c r="AM188" s="67"/>
      <c r="AN188" s="67"/>
      <c r="AO188" s="67"/>
      <c r="AP188" s="16"/>
      <c r="AQ188" s="16"/>
      <c r="AR188" s="16"/>
    </row>
    <row r="189" spans="1:44" s="23" customFormat="1" x14ac:dyDescent="0.2">
      <c r="A189" s="2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L189" s="67"/>
      <c r="AM189" s="67"/>
      <c r="AN189" s="67"/>
      <c r="AO189" s="67"/>
      <c r="AP189" s="16"/>
      <c r="AQ189" s="16"/>
      <c r="AR189" s="16"/>
    </row>
    <row r="190" spans="1:44" s="23" customFormat="1" x14ac:dyDescent="0.2">
      <c r="A190" s="2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L190" s="67"/>
      <c r="AM190" s="67"/>
      <c r="AN190" s="67"/>
      <c r="AO190" s="67"/>
      <c r="AP190" s="16"/>
      <c r="AQ190" s="16"/>
      <c r="AR190" s="16"/>
    </row>
    <row r="191" spans="1:44" s="23" customFormat="1" x14ac:dyDescent="0.2">
      <c r="A191" s="2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L191" s="67"/>
      <c r="AM191" s="67"/>
      <c r="AN191" s="67"/>
      <c r="AO191" s="67"/>
      <c r="AP191" s="16"/>
      <c r="AQ191" s="16"/>
      <c r="AR191" s="16"/>
    </row>
    <row r="192" spans="1:44" s="23" customFormat="1" x14ac:dyDescent="0.2">
      <c r="A192" s="2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L192" s="67"/>
      <c r="AM192" s="67"/>
      <c r="AN192" s="67"/>
      <c r="AO192" s="67"/>
      <c r="AP192" s="16"/>
      <c r="AQ192" s="16"/>
      <c r="AR192" s="16"/>
    </row>
    <row r="193" spans="1:44" s="23" customFormat="1" x14ac:dyDescent="0.2">
      <c r="A193" s="2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L193" s="67"/>
      <c r="AM193" s="67"/>
      <c r="AN193" s="67"/>
      <c r="AO193" s="67"/>
      <c r="AP193" s="16"/>
      <c r="AQ193" s="16"/>
      <c r="AR193" s="16"/>
    </row>
    <row r="194" spans="1:44" s="23" customFormat="1" x14ac:dyDescent="0.2">
      <c r="A194" s="2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L194" s="67"/>
      <c r="AM194" s="67"/>
      <c r="AN194" s="67"/>
      <c r="AO194" s="67"/>
      <c r="AP194" s="16"/>
      <c r="AQ194" s="16"/>
      <c r="AR194" s="16"/>
    </row>
    <row r="195" spans="1:44" s="23" customFormat="1" x14ac:dyDescent="0.2">
      <c r="A195" s="2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L195" s="67"/>
      <c r="AM195" s="67"/>
      <c r="AN195" s="67"/>
      <c r="AO195" s="67"/>
      <c r="AP195" s="16"/>
      <c r="AQ195" s="16"/>
      <c r="AR195" s="16"/>
    </row>
    <row r="196" spans="1:44" s="23" customFormat="1" x14ac:dyDescent="0.2">
      <c r="A196" s="2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L196" s="67"/>
      <c r="AM196" s="67"/>
      <c r="AN196" s="67"/>
      <c r="AO196" s="67"/>
      <c r="AP196" s="16"/>
      <c r="AQ196" s="16"/>
      <c r="AR196" s="16"/>
    </row>
    <row r="197" spans="1:44" s="23" customFormat="1" x14ac:dyDescent="0.2">
      <c r="A197" s="2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L197" s="67"/>
      <c r="AM197" s="67"/>
      <c r="AN197" s="67"/>
      <c r="AO197" s="67"/>
      <c r="AP197" s="16"/>
      <c r="AQ197" s="16"/>
      <c r="AR197" s="16"/>
    </row>
    <row r="198" spans="1:44" s="23" customFormat="1" x14ac:dyDescent="0.2">
      <c r="A198" s="2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L198" s="67"/>
      <c r="AM198" s="67"/>
      <c r="AN198" s="67"/>
      <c r="AO198" s="67"/>
      <c r="AP198" s="16"/>
      <c r="AQ198" s="16"/>
      <c r="AR198" s="16"/>
    </row>
    <row r="199" spans="1:44" s="23" customFormat="1" x14ac:dyDescent="0.2">
      <c r="A199" s="2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L199" s="67"/>
      <c r="AM199" s="67"/>
      <c r="AN199" s="67"/>
      <c r="AO199" s="67"/>
      <c r="AP199" s="16"/>
      <c r="AQ199" s="16"/>
      <c r="AR199" s="16"/>
    </row>
    <row r="200" spans="1:44" s="23" customFormat="1" x14ac:dyDescent="0.2">
      <c r="A200" s="2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L200" s="67"/>
      <c r="AM200" s="67"/>
      <c r="AN200" s="67"/>
      <c r="AO200" s="67"/>
      <c r="AP200" s="16"/>
      <c r="AQ200" s="16"/>
      <c r="AR200" s="16"/>
    </row>
    <row r="201" spans="1:44" s="23" customFormat="1" x14ac:dyDescent="0.2">
      <c r="A201" s="2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L201" s="67"/>
      <c r="AM201" s="67"/>
      <c r="AN201" s="67"/>
      <c r="AO201" s="67"/>
      <c r="AP201" s="16"/>
      <c r="AQ201" s="16"/>
      <c r="AR201" s="16"/>
    </row>
    <row r="202" spans="1:44" s="23" customFormat="1" x14ac:dyDescent="0.2">
      <c r="A202" s="2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L202" s="67"/>
      <c r="AM202" s="67"/>
      <c r="AN202" s="67"/>
      <c r="AO202" s="67"/>
      <c r="AP202" s="16"/>
      <c r="AQ202" s="16"/>
      <c r="AR202" s="16"/>
    </row>
    <row r="203" spans="1:44" s="23" customFormat="1" x14ac:dyDescent="0.2">
      <c r="A203" s="2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L203" s="67"/>
      <c r="AM203" s="67"/>
      <c r="AN203" s="67"/>
      <c r="AO203" s="67"/>
      <c r="AP203" s="16"/>
      <c r="AQ203" s="16"/>
      <c r="AR203" s="16"/>
    </row>
    <row r="204" spans="1:44" s="23" customFormat="1" x14ac:dyDescent="0.2">
      <c r="A204" s="2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L204" s="67"/>
      <c r="AM204" s="67"/>
      <c r="AN204" s="67"/>
      <c r="AO204" s="67"/>
      <c r="AP204" s="16"/>
      <c r="AQ204" s="16"/>
      <c r="AR204" s="16"/>
    </row>
    <row r="205" spans="1:44" s="23" customFormat="1" x14ac:dyDescent="0.2">
      <c r="A205" s="2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L205" s="67"/>
      <c r="AM205" s="67"/>
      <c r="AN205" s="67"/>
      <c r="AO205" s="67"/>
      <c r="AP205" s="16"/>
      <c r="AQ205" s="16"/>
      <c r="AR205" s="16"/>
    </row>
    <row r="206" spans="1:44" s="23" customFormat="1" x14ac:dyDescent="0.2">
      <c r="A206" s="2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L206" s="67"/>
      <c r="AM206" s="67"/>
      <c r="AN206" s="67"/>
      <c r="AO206" s="67"/>
      <c r="AP206" s="16"/>
      <c r="AQ206" s="16"/>
      <c r="AR206" s="16"/>
    </row>
    <row r="207" spans="1:44" s="23" customFormat="1" x14ac:dyDescent="0.2">
      <c r="A207" s="2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L207" s="67"/>
      <c r="AM207" s="67"/>
      <c r="AN207" s="67"/>
      <c r="AO207" s="67"/>
      <c r="AP207" s="16"/>
      <c r="AQ207" s="16"/>
      <c r="AR207" s="16"/>
    </row>
    <row r="208" spans="1:44" s="23" customFormat="1" x14ac:dyDescent="0.2">
      <c r="A208" s="2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L208" s="67"/>
      <c r="AM208" s="67"/>
      <c r="AN208" s="67"/>
      <c r="AO208" s="67"/>
      <c r="AP208" s="16"/>
      <c r="AQ208" s="16"/>
      <c r="AR208" s="16"/>
    </row>
    <row r="209" spans="1:44" s="23" customFormat="1" x14ac:dyDescent="0.2">
      <c r="A209" s="2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L209" s="67"/>
      <c r="AM209" s="67"/>
      <c r="AN209" s="67"/>
      <c r="AO209" s="67"/>
      <c r="AP209" s="16"/>
      <c r="AQ209" s="16"/>
      <c r="AR209" s="16"/>
    </row>
    <row r="210" spans="1:44" s="23" customFormat="1" x14ac:dyDescent="0.2">
      <c r="A210" s="2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L210" s="67"/>
      <c r="AM210" s="67"/>
      <c r="AN210" s="67"/>
      <c r="AO210" s="67"/>
      <c r="AP210" s="16"/>
      <c r="AQ210" s="16"/>
      <c r="AR210" s="16"/>
    </row>
    <row r="211" spans="1:44" s="23" customFormat="1" x14ac:dyDescent="0.2">
      <c r="A211" s="2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L211" s="67"/>
      <c r="AM211" s="67"/>
      <c r="AN211" s="67"/>
      <c r="AO211" s="67"/>
      <c r="AP211" s="16"/>
      <c r="AQ211" s="16"/>
      <c r="AR211" s="16"/>
    </row>
    <row r="212" spans="1:44" s="23" customFormat="1" x14ac:dyDescent="0.2">
      <c r="A212" s="2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L212" s="67"/>
      <c r="AM212" s="67"/>
      <c r="AN212" s="67"/>
      <c r="AO212" s="67"/>
      <c r="AP212" s="16"/>
      <c r="AQ212" s="16"/>
      <c r="AR212" s="16"/>
    </row>
    <row r="213" spans="1:44" s="23" customFormat="1" x14ac:dyDescent="0.2">
      <c r="A213" s="2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L213" s="67"/>
      <c r="AM213" s="67"/>
      <c r="AN213" s="67"/>
      <c r="AO213" s="67"/>
      <c r="AP213" s="16"/>
      <c r="AQ213" s="16"/>
      <c r="AR213" s="16"/>
    </row>
    <row r="214" spans="1:44" s="23" customFormat="1" x14ac:dyDescent="0.2">
      <c r="A214" s="2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L214" s="67"/>
      <c r="AM214" s="67"/>
      <c r="AN214" s="67"/>
      <c r="AO214" s="67"/>
      <c r="AP214" s="16"/>
      <c r="AQ214" s="16"/>
      <c r="AR214" s="16"/>
    </row>
    <row r="215" spans="1:44" s="23" customFormat="1" x14ac:dyDescent="0.2">
      <c r="A215" s="2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L215" s="67"/>
      <c r="AM215" s="67"/>
      <c r="AN215" s="67"/>
      <c r="AO215" s="67"/>
      <c r="AP215" s="16"/>
      <c r="AQ215" s="16"/>
      <c r="AR215" s="16"/>
    </row>
    <row r="216" spans="1:44" s="23" customFormat="1" x14ac:dyDescent="0.2">
      <c r="A216" s="2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L216" s="67"/>
      <c r="AM216" s="67"/>
      <c r="AN216" s="67"/>
      <c r="AO216" s="67"/>
      <c r="AP216" s="16"/>
      <c r="AQ216" s="16"/>
      <c r="AR216" s="16"/>
    </row>
    <row r="217" spans="1:44" s="23" customFormat="1" x14ac:dyDescent="0.2">
      <c r="A217" s="2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L217" s="67"/>
      <c r="AM217" s="67"/>
      <c r="AN217" s="67"/>
      <c r="AO217" s="67"/>
      <c r="AP217" s="16"/>
      <c r="AQ217" s="16"/>
      <c r="AR217" s="16"/>
    </row>
    <row r="218" spans="1:44" s="23" customFormat="1" x14ac:dyDescent="0.2">
      <c r="A218" s="2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L218" s="67"/>
      <c r="AM218" s="67"/>
      <c r="AN218" s="67"/>
      <c r="AO218" s="67"/>
      <c r="AP218" s="16"/>
      <c r="AQ218" s="16"/>
      <c r="AR218" s="16"/>
    </row>
    <row r="219" spans="1:44" s="23" customFormat="1" x14ac:dyDescent="0.2">
      <c r="A219" s="2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L219" s="67"/>
      <c r="AM219" s="67"/>
      <c r="AN219" s="67"/>
      <c r="AO219" s="67"/>
      <c r="AP219" s="16"/>
      <c r="AQ219" s="16"/>
      <c r="AR219" s="16"/>
    </row>
    <row r="220" spans="1:44" s="23" customFormat="1" x14ac:dyDescent="0.2">
      <c r="A220" s="2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L220" s="67"/>
      <c r="AM220" s="67"/>
      <c r="AN220" s="67"/>
      <c r="AO220" s="67"/>
      <c r="AP220" s="16"/>
      <c r="AQ220" s="16"/>
      <c r="AR220" s="16"/>
    </row>
    <row r="221" spans="1:44" s="23" customFormat="1" x14ac:dyDescent="0.2">
      <c r="A221" s="2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L221" s="67"/>
      <c r="AM221" s="67"/>
      <c r="AN221" s="67"/>
      <c r="AO221" s="67"/>
      <c r="AP221" s="16"/>
      <c r="AQ221" s="16"/>
      <c r="AR221" s="16"/>
    </row>
    <row r="222" spans="1:44" s="23" customFormat="1" x14ac:dyDescent="0.2">
      <c r="A222" s="2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L222" s="67"/>
      <c r="AM222" s="67"/>
      <c r="AN222" s="67"/>
      <c r="AO222" s="67"/>
      <c r="AP222" s="16"/>
      <c r="AQ222" s="16"/>
      <c r="AR222" s="16"/>
    </row>
    <row r="223" spans="1:44" s="23" customFormat="1" x14ac:dyDescent="0.2">
      <c r="A223" s="2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L223" s="67"/>
      <c r="AM223" s="67"/>
      <c r="AN223" s="67"/>
      <c r="AO223" s="67"/>
      <c r="AP223" s="16"/>
      <c r="AQ223" s="16"/>
      <c r="AR223" s="16"/>
    </row>
    <row r="224" spans="1:44" s="23" customFormat="1" x14ac:dyDescent="0.2">
      <c r="A224" s="2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L224" s="67"/>
      <c r="AM224" s="67"/>
      <c r="AN224" s="67"/>
      <c r="AO224" s="67"/>
      <c r="AP224" s="16"/>
      <c r="AQ224" s="16"/>
      <c r="AR224" s="16"/>
    </row>
    <row r="225" spans="1:44" s="23" customFormat="1" x14ac:dyDescent="0.2">
      <c r="A225" s="2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L225" s="67"/>
      <c r="AM225" s="67"/>
      <c r="AN225" s="67"/>
      <c r="AO225" s="67"/>
      <c r="AP225" s="16"/>
      <c r="AQ225" s="16"/>
      <c r="AR225" s="16"/>
    </row>
    <row r="226" spans="1:44" s="23" customFormat="1" x14ac:dyDescent="0.2">
      <c r="A226" s="2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L226" s="67"/>
      <c r="AM226" s="67"/>
      <c r="AN226" s="67"/>
      <c r="AO226" s="67"/>
      <c r="AP226" s="16"/>
      <c r="AQ226" s="16"/>
      <c r="AR226" s="16"/>
    </row>
    <row r="227" spans="1:44" s="23" customFormat="1" x14ac:dyDescent="0.2">
      <c r="A227" s="2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L227" s="67"/>
      <c r="AM227" s="67"/>
      <c r="AN227" s="67"/>
      <c r="AO227" s="67"/>
      <c r="AP227" s="16"/>
      <c r="AQ227" s="16"/>
      <c r="AR227" s="16"/>
    </row>
    <row r="228" spans="1:44" s="23" customFormat="1" x14ac:dyDescent="0.2">
      <c r="A228" s="2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L228" s="67"/>
      <c r="AM228" s="67"/>
      <c r="AN228" s="67"/>
      <c r="AO228" s="67"/>
      <c r="AP228" s="16"/>
      <c r="AQ228" s="16"/>
      <c r="AR228" s="16"/>
    </row>
    <row r="229" spans="1:44" s="23" customFormat="1" x14ac:dyDescent="0.2">
      <c r="A229" s="2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L229" s="67"/>
      <c r="AM229" s="67"/>
      <c r="AN229" s="67"/>
      <c r="AO229" s="67"/>
      <c r="AP229" s="16"/>
      <c r="AQ229" s="16"/>
      <c r="AR229" s="16"/>
    </row>
    <row r="230" spans="1:44" s="23" customFormat="1" x14ac:dyDescent="0.2">
      <c r="A230" s="2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L230" s="67"/>
      <c r="AM230" s="67"/>
      <c r="AN230" s="67"/>
      <c r="AO230" s="67"/>
      <c r="AP230" s="16"/>
      <c r="AQ230" s="16"/>
      <c r="AR230" s="16"/>
    </row>
    <row r="231" spans="1:44" s="23" customFormat="1" x14ac:dyDescent="0.2">
      <c r="A231" s="2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L231" s="67"/>
      <c r="AM231" s="67"/>
      <c r="AN231" s="67"/>
      <c r="AO231" s="67"/>
      <c r="AP231" s="16"/>
      <c r="AQ231" s="16"/>
      <c r="AR231" s="16"/>
    </row>
    <row r="232" spans="1:44" s="23" customFormat="1" x14ac:dyDescent="0.2">
      <c r="A232" s="24"/>
      <c r="B232" s="20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4"/>
      <c r="AC232" s="16"/>
      <c r="AD232" s="16"/>
      <c r="AE232" s="16"/>
      <c r="AF232" s="16"/>
      <c r="AG232" s="16"/>
      <c r="AH232" s="16"/>
      <c r="AI232" s="4"/>
      <c r="AJ232" s="4"/>
      <c r="AL232" s="67"/>
      <c r="AM232" s="67"/>
      <c r="AN232" s="67"/>
      <c r="AO232" s="67"/>
      <c r="AP232" s="16"/>
      <c r="AQ232" s="16"/>
      <c r="AR232" s="16"/>
    </row>
    <row r="233" spans="1:44" s="23" customFormat="1" x14ac:dyDescent="0.2">
      <c r="A233" s="24"/>
      <c r="B233" s="20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4"/>
      <c r="AJ233" s="16"/>
      <c r="AL233" s="67"/>
      <c r="AM233" s="67"/>
      <c r="AN233" s="67"/>
      <c r="AO233" s="67"/>
      <c r="AP233" s="16"/>
      <c r="AQ233" s="16"/>
      <c r="AR233" s="16"/>
    </row>
  </sheetData>
  <mergeCells count="12">
    <mergeCell ref="AK8:AK9"/>
    <mergeCell ref="AJ8:AJ9"/>
    <mergeCell ref="A8:A9"/>
    <mergeCell ref="B8:B9"/>
    <mergeCell ref="C9:AG9"/>
    <mergeCell ref="B1:E1"/>
    <mergeCell ref="S1:AI1"/>
    <mergeCell ref="B2:E2"/>
    <mergeCell ref="U2:AI2"/>
    <mergeCell ref="B5:AI6"/>
    <mergeCell ref="AH8:AH9"/>
    <mergeCell ref="AI8:AI9"/>
  </mergeCells>
  <pageMargins left="0.23622047244094491" right="0.23622047244094491" top="0.74803149606299213" bottom="0.74803149606299213" header="0.31496062992125984" footer="0.31496062992125984"/>
  <pageSetup paperSize="9" scale="83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Май часы</vt:lpstr>
      <vt:lpstr>Май рейсы</vt:lpstr>
      <vt:lpstr>'Май рейсы'!Область_печати</vt:lpstr>
      <vt:lpstr>'Май часы'!Область_печати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Hamster</cp:lastModifiedBy>
  <cp:lastPrinted>2025-06-02T17:27:06Z</cp:lastPrinted>
  <dcterms:created xsi:type="dcterms:W3CDTF">2001-10-22T07:10:55Z</dcterms:created>
  <dcterms:modified xsi:type="dcterms:W3CDTF">2025-12-04T02:34:03Z</dcterms:modified>
</cp:coreProperties>
</file>